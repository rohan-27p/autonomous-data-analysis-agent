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210ce4f3e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4095cf9f4e3430e"/>
    <x:sheet xmlns:r="http://schemas.openxmlformats.org/officeDocument/2006/relationships" name="Orders" sheetId="2" r:id="R147a3ea77c9c429b"/>
    <x:sheet xmlns:r="http://schemas.openxmlformats.org/officeDocument/2006/relationships" name="Summary Tables" sheetId="3" r:id="R810425c4904c465e"/>
    <x:sheet xmlns:r="http://schemas.openxmlformats.org/officeDocument/2006/relationships" name="Data Dictionary" sheetId="4" r:id="R0fa67ac0822041f8"/>
    <x:sheet xmlns:r="http://schemas.openxmlformats.org/officeDocument/2006/relationships" name="Demo Questions" sheetId="5" r:id="R8b231b31c2e04909"/>
    <x:sheet xmlns:r="http://schemas.openxmlformats.org/officeDocument/2006/relationships" name="QA Checks" sheetId="6" r:id="Rc3f70f5ec646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$#,##0.00"/>
    <x:numFmt numFmtId="203" formatCode="$#,##0"/>
    <x:numFmt numFmtId="204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64E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F172A"/>
      </x:patternFill>
    </x:fill>
    <x:fill>
      <x:patternFill patternType="solid">
        <x:fgColor rgb="FFECFEFF"/>
      </x:patternFill>
    </x:fill>
  </x:fills>
  <x:borders count="3">
    <x:border/>
    <x:border>
      <x:left style="thin">
        <x:color rgb="FFCFE8F3"/>
      </x:left>
      <x:right style="thin">
        <x:color rgb="FFCFE8F3"/>
      </x:right>
      <x:top style="thin">
        <x:color rgb="FFCFE8F3"/>
      </x:top>
      <x:bottom style="thin">
        <x:color rgb="FFCFE8F3"/>
      </x:bottom>
    </x:border>
    <x:border>
      <x:left style="thin">
        <x:color rgb="FFA5F3FC"/>
      </x:left>
      <x:right style="thin">
        <x:color rgb="FFA5F3FC"/>
      </x:right>
      <x:top style="thin">
        <x:color rgb="FFA5F3FC"/>
      </x:top>
      <x:bottom style="thin">
        <x:color rgb="FFA5F3F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1" fontId="1" fillId="2" borderId="1" xfId="0" applyNumberFormat="1" applyFont="1" applyFill="1" applyBorder="1"/>
    <x:xf numFmtId="202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203" fontId="0" fillId="4" borderId="2" xfId="0" applyNumberFormat="1" applyFont="1" applyFill="1" applyBorder="1"/>
    <x:xf numFmtId="201" fontId="0" fillId="4" borderId="2" xfId="0" applyNumberFormat="1" applyFont="1" applyFill="1" applyBorder="1"/>
    <x:xf numFmtId="204" fontId="0" fillId="4" borderId="2" xfId="0" applyNumberFormat="1" applyFont="1" applyFill="1" applyBorder="1"/>
    <x:xf numFmtId="203" fontId="1" fillId="2" borderId="0" xfId="0" applyNumberFormat="1" applyFont="1" applyFill="1" applyBorder="1"/>
    <x:xf numFmtId="201" fontId="1" fillId="2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e043ca2f649da" /><Relationship Type="http://schemas.openxmlformats.org/officeDocument/2006/relationships/theme" Target="/xl/theme/theme1.xml" Id="Ree8bcaeac2544dc5" /><Relationship Type="http://schemas.openxmlformats.org/officeDocument/2006/relationships/sharedStrings" Target="/xl/sharedStrings.xml" Id="R54996a164cb04f78" /><Relationship Type="http://schemas.openxmlformats.org/officeDocument/2006/relationships/worksheet" Target="/xl/worksheets/sheet1.xml" Id="R74095cf9f4e3430e" /><Relationship Type="http://schemas.openxmlformats.org/officeDocument/2006/relationships/worksheet" Target="/xl/worksheets/sheet2.xml" Id="R147a3ea77c9c429b" /><Relationship Type="http://schemas.openxmlformats.org/officeDocument/2006/relationships/worksheet" Target="/xl/worksheets/sheet3.xml" Id="R810425c4904c465e" /><Relationship Type="http://schemas.openxmlformats.org/officeDocument/2006/relationships/worksheet" Target="/xl/worksheets/sheet4.xml" Id="R0fa67ac0822041f8" /><Relationship Type="http://schemas.openxmlformats.org/officeDocument/2006/relationships/worksheet" Target="/xl/worksheets/sheet5.xml" Id="R8b231b31c2e04909" /><Relationship Type="http://schemas.openxmlformats.org/officeDocument/2006/relationships/worksheet" Target="/xl/worksheets/sheet6.xml" Id="Rc3f70f5ec64645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c4cb915d6948d5" /><Relationship Type="http://schemas.openxmlformats.org/officeDocument/2006/relationships/chart" Target="/xl/drawings/charts/chart2.xml" Id="R776f07915b4842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and Profit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'Dashboard'!$F$5:$F$9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Sales and Profit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Sales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'Dashboard'!$J$5:$J$16</c:f>
              <c:strCache>
                <c:ptCount val="0"/>
              </c:strCache>
            </c:strRef>
          </c:cat>
          <c:val>
            <c:numRef>
              <c:f>'Dashboard'!$K$5:$K$16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'Dashboard'!$J$5:$J$16</c:f>
              <c:strCache>
                <c:ptCount val="0"/>
              </c:strCache>
            </c:strRef>
          </c:cat>
          <c:val>
            <c:numRef>
              <c:f>'Dashboard'!$L$5:$L$16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c4cb915d6948d5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f07915b4842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1:L241" headerRowCount="1">
  <x:tableColumns count="12">
    <x:tableColumn id="1" name="order_id"/>
    <x:tableColumn id="2" name="order_date"/>
    <x:tableColumn id="3" name="region"/>
    <x:tableColumn id="4" name="product_category"/>
    <x:tableColumn id="5" name="customer_segment"/>
    <x:tableColumn id="6" name="sales_channel"/>
    <x:tableColumn id="7" name="quantity"/>
    <x:tableColumn id="8" name="unit_price"/>
    <x:tableColumn id="9" name="discount"/>
    <x:tableColumn id="10" name="sales"/>
    <x:tableColumn id="11" name="profit"/>
    <x:tableColumn id="12" name="customer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62f06b6f6541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653741f6f146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3.130000114440918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10" max="10" width="14.75" hidden="0" customWidth="1"/>
    <x:col min="11" max="11" width="14.75" hidden="0" customWidth="1"/>
    <x:col min="12" max="12" width="14.75" hidden="0" customWidth="1"/>
    <x:col min="13" max="13" width="14.75" hidden="0" customWidth="1"/>
  </x:cols>
  <x:sheetData>
    <x:row r="1">
      <x:c r="A1" s="10" t="str">
        <x:v>Autonomous Data Analysis Agent - Demo Dataset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3" t="str">
        <x:v>Total Sales</x:v>
      </x:c>
      <x:c r="B4" s="14" t="n">
        <x:f>SUM(Orders!J2:J241)</x:f>
        <x:v>224678.13999999978</x:v>
      </x:c>
      <x:c r="D4" s="2" t="str">
        <x:v>Category</x:v>
      </x:c>
      <x:c r="E4" s="2" t="str">
        <x:v>Sales</x:v>
      </x:c>
      <x:c r="F4" s="2" t="str">
        <x:v>Profit</x:v>
      </x:c>
      <x:c r="G4" s="2" t="str">
        <x:v>Margin</x:v>
      </x:c>
      <x:c r="H4" s="2" t="str">
        <x:v>Orders</x:v>
      </x:c>
      <x:c r="J4" s="2" t="str">
        <x:v>Month</x:v>
      </x:c>
      <x:c r="K4" s="2" t="str">
        <x:v>Sales</x:v>
      </x:c>
      <x:c r="L4" s="2" t="str">
        <x:v>Profit</x:v>
      </x:c>
      <x:c r="M4" s="2" t="str">
        <x:v>Orders</x:v>
      </x:c>
    </x:row>
    <x:row r="5">
      <x:c r="A5" s="13" t="str">
        <x:v>Total Profit</x:v>
      </x:c>
      <x:c r="B5" s="14" t="n">
        <x:f>SUM(Orders!K2:K241)</x:f>
        <x:v>59655.02999999998</x:v>
      </x:c>
      <x:c r="D5" t="str">
        <x:f>'Summary Tables'!A2</x:f>
        <x:v>Electronics</x:v>
      </x:c>
      <x:c r="E5" s="19" t="n">
        <x:f>'Summary Tables'!B2</x:f>
        <x:v>89373.36</x:v>
      </x:c>
      <x:c r="F5" s="19" t="n">
        <x:f>'Summary Tables'!C2</x:f>
        <x:v>21652.17</x:v>
      </x:c>
      <x:c r="G5" s="20" t="n">
        <x:f>'Summary Tables'!D2</x:f>
        <x:v>0.2423</x:v>
      </x:c>
      <x:c r="H5" t="n">
        <x:f>'Summary Tables'!E2</x:f>
        <x:v>47</x:v>
      </x:c>
      <x:c r="J5" t="str">
        <x:f>'Summary Tables'!H2</x:f>
        <x:v>2025-01</x:v>
      </x:c>
      <x:c r="K5" s="19" t="n">
        <x:f>'Summary Tables'!I2</x:f>
        <x:v>11515.25</x:v>
      </x:c>
      <x:c r="L5" s="19" t="n">
        <x:f>'Summary Tables'!J2</x:f>
        <x:v>3325.06</x:v>
      </x:c>
      <x:c r="M5" t="n">
        <x:f>'Summary Tables'!K2</x:f>
        <x:v>11</x:v>
      </x:c>
    </x:row>
    <x:row r="6">
      <x:c r="A6" s="13" t="str">
        <x:v>Profit Margin</x:v>
      </x:c>
      <x:c r="B6" s="15" t="n">
        <x:f>B5/B4</x:f>
        <x:v>0.26551328046422334</x:v>
      </x:c>
      <x:c r="D6" t="str">
        <x:f>'Summary Tables'!A3</x:f>
        <x:v>Furniture</x:v>
      </x:c>
      <x:c r="E6" s="19" t="n">
        <x:f>'Summary Tables'!B3</x:f>
        <x:v>68210.96</x:v>
      </x:c>
      <x:c r="F6" s="19" t="n">
        <x:f>'Summary Tables'!C3</x:f>
        <x:v>15836.5</x:v>
      </x:c>
      <x:c r="G6" s="20" t="n">
        <x:f>'Summary Tables'!D3</x:f>
        <x:v>0.2322</x:v>
      </x:c>
      <x:c r="H6" t="n">
        <x:f>'Summary Tables'!E3</x:f>
        <x:v>49</x:v>
      </x:c>
      <x:c r="J6" t="str">
        <x:f>'Summary Tables'!H3</x:f>
        <x:v>2025-02</x:v>
      </x:c>
      <x:c r="K6" s="19" t="n">
        <x:f>'Summary Tables'!I3</x:f>
        <x:v>5639.18</x:v>
      </x:c>
      <x:c r="L6" s="19" t="n">
        <x:f>'Summary Tables'!J3</x:f>
        <x:v>1491.49</x:v>
      </x:c>
      <x:c r="M6" t="n">
        <x:f>'Summary Tables'!K3</x:f>
        <x:v>9</x:v>
      </x:c>
    </x:row>
    <x:row r="7">
      <x:c r="A7" s="13" t="str">
        <x:v>Orders</x:v>
      </x:c>
      <x:c r="B7" s="16" t="n">
        <x:f>COUNTA(Orders!A2:A241)</x:f>
        <x:v>240</x:v>
      </x:c>
      <x:c r="D7" t="str">
        <x:f>'Summary Tables'!A4</x:f>
        <x:v>Home</x:v>
      </x:c>
      <x:c r="E7" s="19" t="n">
        <x:f>'Summary Tables'!B4</x:f>
        <x:v>31866.48</x:v>
      </x:c>
      <x:c r="F7" s="19" t="n">
        <x:f>'Summary Tables'!C4</x:f>
        <x:v>11361.53</x:v>
      </x:c>
      <x:c r="G7" s="20" t="n">
        <x:f>'Summary Tables'!D4</x:f>
        <x:v>0.3565</x:v>
      </x:c>
      <x:c r="H7" t="n">
        <x:f>'Summary Tables'!E4</x:f>
        <x:v>47</x:v>
      </x:c>
      <x:c r="J7" t="str">
        <x:f>'Summary Tables'!H4</x:f>
        <x:v>2025-03</x:v>
      </x:c>
      <x:c r="K7" s="19" t="n">
        <x:f>'Summary Tables'!I4</x:f>
        <x:v>10144.03</x:v>
      </x:c>
      <x:c r="L7" s="19" t="n">
        <x:f>'Summary Tables'!J4</x:f>
        <x:v>3044.68</x:v>
      </x:c>
      <x:c r="M7" t="n">
        <x:f>'Summary Tables'!K4</x:f>
        <x:v>10</x:v>
      </x:c>
    </x:row>
    <x:row r="8">
      <x:c r="A8" s="13" t="str">
        <x:v>Negative Profit Orders</x:v>
      </x:c>
      <x:c r="B8" s="16" t="n">
        <x:f>COUNTIF(Orders!K2:K241,"&lt;0")</x:f>
        <x:v>7</x:v>
      </x:c>
      <x:c r="D8" t="str">
        <x:f>'Summary Tables'!A5</x:f>
        <x:v>Office Supplies</x:v>
      </x:c>
      <x:c r="E8" s="19" t="n">
        <x:f>'Summary Tables'!B5</x:f>
        <x:v>23032.38</x:v>
      </x:c>
      <x:c r="F8" s="19" t="n">
        <x:f>'Summary Tables'!C5</x:f>
        <x:v>8718.67</x:v>
      </x:c>
      <x:c r="G8" s="20" t="n">
        <x:f>'Summary Tables'!D5</x:f>
        <x:v>0.3785</x:v>
      </x:c>
      <x:c r="H8" t="n">
        <x:f>'Summary Tables'!E5</x:f>
        <x:v>48</x:v>
      </x:c>
      <x:c r="J8" t="str">
        <x:f>'Summary Tables'!H5</x:f>
        <x:v>2025-04</x:v>
      </x:c>
      <x:c r="K8" s="19" t="n">
        <x:f>'Summary Tables'!I5</x:f>
        <x:v>10337.23</x:v>
      </x:c>
      <x:c r="L8" s="19" t="n">
        <x:f>'Summary Tables'!J5</x:f>
        <x:v>2899.63</x:v>
      </x:c>
      <x:c r="M8" t="n">
        <x:f>'Summary Tables'!K5</x:f>
        <x:v>10</x:v>
      </x:c>
    </x:row>
    <x:row r="9">
      <x:c r="D9" t="str">
        <x:f>'Summary Tables'!A6</x:f>
        <x:v>Grocery</x:v>
      </x:c>
      <x:c r="E9" s="19" t="n">
        <x:f>'Summary Tables'!B6</x:f>
        <x:v>12194.96</x:v>
      </x:c>
      <x:c r="F9" s="19" t="n">
        <x:f>'Summary Tables'!C6</x:f>
        <x:v>2086.16</x:v>
      </x:c>
      <x:c r="G9" s="20" t="n">
        <x:f>'Summary Tables'!D6</x:f>
        <x:v>0.1711</x:v>
      </x:c>
      <x:c r="H9" t="n">
        <x:f>'Summary Tables'!E6</x:f>
        <x:v>49</x:v>
      </x:c>
      <x:c r="J9" t="str">
        <x:f>'Summary Tables'!H6</x:f>
        <x:v>2025-05</x:v>
      </x:c>
      <x:c r="K9" s="19" t="n">
        <x:f>'Summary Tables'!I6</x:f>
        <x:v>10813.51</x:v>
      </x:c>
      <x:c r="L9" s="19" t="n">
        <x:f>'Summary Tables'!J6</x:f>
        <x:v>3172.84</x:v>
      </x:c>
      <x:c r="M9" t="n">
        <x:f>'Summary Tables'!K6</x:f>
        <x:v>11</x:v>
      </x:c>
    </x:row>
    <x:row r="10">
      <x:c r="J10" t="str">
        <x:f>'Summary Tables'!H7</x:f>
        <x:v>2025-06</x:v>
      </x:c>
      <x:c r="K10" s="19" t="n">
        <x:f>'Summary Tables'!I7</x:f>
        <x:v>9451.75</x:v>
      </x:c>
      <x:c r="L10" s="19" t="n">
        <x:f>'Summary Tables'!J7</x:f>
        <x:v>2336.43</x:v>
      </x:c>
      <x:c r="M10" t="n">
        <x:f>'Summary Tables'!K7</x:f>
        <x:v>10</x:v>
      </x:c>
    </x:row>
    <x:row r="11">
      <x:c r="J11" t="str">
        <x:f>'Summary Tables'!H8</x:f>
        <x:v>2025-07</x:v>
      </x:c>
      <x:c r="K11" s="19" t="n">
        <x:f>'Summary Tables'!I8</x:f>
        <x:v>10891.98</x:v>
      </x:c>
      <x:c r="L11" s="19" t="n">
        <x:f>'Summary Tables'!J8</x:f>
        <x:v>3121.71</x:v>
      </x:c>
      <x:c r="M11" t="n">
        <x:f>'Summary Tables'!K8</x:f>
        <x:v>10</x:v>
      </x:c>
    </x:row>
    <x:row r="12">
      <x:c r="J12" t="str">
        <x:f>'Summary Tables'!H9</x:f>
        <x:v>2025-08</x:v>
      </x:c>
      <x:c r="K12" s="19" t="n">
        <x:f>'Summary Tables'!I9</x:f>
        <x:v>7331.93</x:v>
      </x:c>
      <x:c r="L12" s="19" t="n">
        <x:f>'Summary Tables'!J9</x:f>
        <x:v>1971.84</x:v>
      </x:c>
      <x:c r="M12" t="n">
        <x:f>'Summary Tables'!K9</x:f>
        <x:v>10</x:v>
      </x:c>
    </x:row>
    <x:row r="13">
      <x:c r="J13" t="str">
        <x:f>'Summary Tables'!H10</x:f>
        <x:v>2025-09</x:v>
      </x:c>
      <x:c r="K13" s="19" t="n">
        <x:f>'Summary Tables'!I10</x:f>
        <x:v>9347.53</x:v>
      </x:c>
      <x:c r="L13" s="19" t="n">
        <x:f>'Summary Tables'!J10</x:f>
        <x:v>2716.07</x:v>
      </x:c>
      <x:c r="M13" t="n">
        <x:f>'Summary Tables'!K10</x:f>
        <x:v>10</x:v>
      </x:c>
    </x:row>
    <x:row r="14">
      <x:c r="J14" t="str">
        <x:f>'Summary Tables'!H11</x:f>
        <x:v>2025-10</x:v>
      </x:c>
      <x:c r="K14" s="19" t="n">
        <x:f>'Summary Tables'!I11</x:f>
        <x:v>7719.21</x:v>
      </x:c>
      <x:c r="L14" s="19" t="n">
        <x:f>'Summary Tables'!J11</x:f>
        <x:v>2083.67</x:v>
      </x:c>
      <x:c r="M14" t="n">
        <x:f>'Summary Tables'!K11</x:f>
        <x:v>11</x:v>
      </x:c>
    </x:row>
    <x:row r="15">
      <x:c r="J15" t="str">
        <x:f>'Summary Tables'!H12</x:f>
        <x:v>2025-11</x:v>
      </x:c>
      <x:c r="K15" s="19" t="n">
        <x:f>'Summary Tables'!I12</x:f>
        <x:v>11688.65</x:v>
      </x:c>
      <x:c r="L15" s="19" t="n">
        <x:f>'Summary Tables'!J12</x:f>
        <x:v>2219.6</x:v>
      </x:c>
      <x:c r="M15" t="n">
        <x:f>'Summary Tables'!K12</x:f>
        <x:v>10</x:v>
      </x:c>
    </x:row>
    <x:row r="16">
      <x:c r="J16" t="str">
        <x:f>'Summary Tables'!H13</x:f>
        <x:v>2025-12</x:v>
      </x:c>
      <x:c r="K16" s="19" t="n">
        <x:f>'Summary Tables'!I13</x:f>
        <x:v>8843.35</x:v>
      </x:c>
      <x:c r="L16" s="19" t="n">
        <x:f>'Summary Tables'!J13</x:f>
        <x:v>2593.08</x:v>
      </x:c>
      <x:c r="M16" t="n">
        <x:f>'Summary Tables'!K13</x:f>
        <x:v>10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e562f06b6f6541e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9" max="9" width="14.75" hidden="0" customWidth="1"/>
    <x:col min="10" max="10" width="14.75" hidden="0" customWidth="1"/>
    <x:col min="11" max="11" width="14.75" hidden="0" customWidth="1"/>
    <x:col min="12" max="12" width="14.75" hidden="0" customWidth="1"/>
  </x:cols>
  <x:sheetData>
    <x:row r="1">
      <x:c r="A1" s="3" t="str">
        <x:v>order_id</x:v>
      </x:c>
      <x:c r="B1" s="4" t="str">
        <x:v>order_date</x:v>
      </x:c>
      <x:c r="C1" s="3" t="str">
        <x:v>region</x:v>
      </x:c>
      <x:c r="D1" s="3" t="str">
        <x:v>product_category</x:v>
      </x:c>
      <x:c r="E1" s="3" t="str">
        <x:v>customer_segment</x:v>
      </x:c>
      <x:c r="F1" s="3" t="str">
        <x:v>sales_channel</x:v>
      </x:c>
      <x:c r="G1" s="3" t="str">
        <x:v>quantity</x:v>
      </x:c>
      <x:c r="H1" s="6" t="str">
        <x:v>unit_price</x:v>
      </x:c>
      <x:c r="I1" s="5" t="str">
        <x:v>discount</x:v>
      </x:c>
      <x:c r="J1" s="6" t="str">
        <x:v>sales</x:v>
      </x:c>
      <x:c r="K1" s="6" t="str">
        <x:v>profit</x:v>
      </x:c>
      <x:c r="L1" s="3" t="str">
        <x:v>customer_id</x:v>
      </x:c>
    </x:row>
    <x:row r="2">
      <x:c r="A2" t="str">
        <x:v>ORD-0001</x:v>
      </x:c>
      <x:c r="B2" t="str">
        <x:v>2025-01-01</x:v>
      </x:c>
      <x:c r="C2" t="str">
        <x:v>North</x:v>
      </x:c>
      <x:c r="D2" t="str">
        <x:v>Electronics</x:v>
      </x:c>
      <x:c r="E2" t="str">
        <x:v>Consumer</x:v>
      </x:c>
      <x:c r="F2" t="str">
        <x:v>Online</x:v>
      </x:c>
      <x:c r="G2" t="n">
        <x:v>1</x:v>
      </x:c>
      <x:c r="H2" t="n">
        <x:v>420</x:v>
      </x:c>
      <x:c r="I2" t="n">
        <x:v>0</x:v>
      </x:c>
      <x:c r="J2" t="n">
        <x:v>420</x:v>
      </x:c>
      <x:c r="K2" t="n">
        <x:v>-49</x:v>
      </x:c>
      <x:c r="L2" t="str">
        <x:v>CUST-1000</x:v>
      </x:c>
    </x:row>
    <x:row r="3">
      <x:c r="A3" t="str">
        <x:v>ORD-0002</x:v>
      </x:c>
      <x:c r="B3" t="str">
        <x:v>2025-01-04</x:v>
      </x:c>
      <x:c r="C3" t="str">
        <x:v>South</x:v>
      </x:c>
      <x:c r="D3" t="str">
        <x:v>Office Supplies</x:v>
      </x:c>
      <x:c r="E3" t="str">
        <x:v>Corporate</x:v>
      </x:c>
      <x:c r="F3" t="str">
        <x:v>Retail</x:v>
      </x:c>
      <x:c r="G3" t="n">
        <x:v>8</x:v>
      </x:c>
      <x:c r="H3" t="n">
        <x:v>91</x:v>
      </x:c>
      <x:c r="I3" t="n">
        <x:v>0.03</x:v>
      </x:c>
      <x:c r="J3" t="n">
        <x:v>706.16</x:v>
      </x:c>
      <x:c r="K3" t="n">
        <x:v>289.59</x:v>
      </x:c>
      <x:c r="L3" t="str">
        <x:v>CUST-1019</x:v>
      </x:c>
    </x:row>
    <x:row r="4">
      <x:c r="A4" t="str">
        <x:v>ORD-0003</x:v>
      </x:c>
      <x:c r="B4" t="str">
        <x:v>2025-01-07</x:v>
      </x:c>
      <x:c r="C4" t="str">
        <x:v>East</x:v>
      </x:c>
      <x:c r="D4" t="str">
        <x:v>Grocery</x:v>
      </x:c>
      <x:c r="E4" t="str">
        <x:v>Small Business</x:v>
      </x:c>
      <x:c r="F4" t="str">
        <x:v>Partner</x:v>
      </x:c>
      <x:c r="G4" t="n">
        <x:v>6</x:v>
      </x:c>
      <x:c r="H4" t="n">
        <x:v>47</x:v>
      </x:c>
      <x:c r="I4" t="n">
        <x:v>0.06</x:v>
      </x:c>
      <x:c r="J4" t="n">
        <x:v>265.08</x:v>
      </x:c>
      <x:c r="K4" t="n">
        <x:v>45.62</x:v>
      </x:c>
      <x:c r="L4" t="str">
        <x:v>CUST-1038</x:v>
      </x:c>
    </x:row>
    <x:row r="5">
      <x:c r="A5" t="str">
        <x:v>ORD-0004</x:v>
      </x:c>
      <x:c r="B5" t="str">
        <x:v>2025-01-10</x:v>
      </x:c>
      <x:c r="C5" t="str">
        <x:v>West</x:v>
      </x:c>
      <x:c r="D5" t="str">
        <x:v>Furniture</x:v>
      </x:c>
      <x:c r="E5" t="str">
        <x:v>Consumer</x:v>
      </x:c>
      <x:c r="F5" t="str">
        <x:v>Online</x:v>
      </x:c>
      <x:c r="G5" t="n">
        <x:v>4</x:v>
      </x:c>
      <x:c r="H5" t="n">
        <x:v>328</x:v>
      </x:c>
      <x:c r="I5" t="n">
        <x:v>0.09</x:v>
      </x:c>
      <x:c r="J5" t="n">
        <x:v>1193.92</x:v>
      </x:c>
      <x:c r="K5" t="n">
        <x:v>315.36</x:v>
      </x:c>
      <x:c r="L5" t="str">
        <x:v>CUST-1057</x:v>
      </x:c>
    </x:row>
    <x:row r="6">
      <x:c r="A6" t="str">
        <x:v>ORD-0005</x:v>
      </x:c>
      <x:c r="B6" t="str">
        <x:v>2025-01-13</x:v>
      </x:c>
      <x:c r="C6" t="str">
        <x:v>North</x:v>
      </x:c>
      <x:c r="D6" t="str">
        <x:v>Home</x:v>
      </x:c>
      <x:c r="E6" t="str">
        <x:v>Corporate</x:v>
      </x:c>
      <x:c r="F6" t="str">
        <x:v>Retail</x:v>
      </x:c>
      <x:c r="G6" t="n">
        <x:v>2</x:v>
      </x:c>
      <x:c r="H6" t="n">
        <x:v>164</x:v>
      </x:c>
      <x:c r="I6" t="n">
        <x:v>0.12</x:v>
      </x:c>
      <x:c r="J6" t="n">
        <x:v>288.64</x:v>
      </x:c>
      <x:c r="K6" t="n">
        <x:v>105.57</x:v>
      </x:c>
      <x:c r="L6" t="str">
        <x:v>CUST-1076</x:v>
      </x:c>
    </x:row>
    <x:row r="7">
      <x:c r="A7" t="str">
        <x:v>ORD-0006</x:v>
      </x:c>
      <x:c r="B7" t="str">
        <x:v>2025-01-16</x:v>
      </x:c>
      <x:c r="C7" t="str">
        <x:v>South</x:v>
      </x:c>
      <x:c r="D7" t="str">
        <x:v>Electronics</x:v>
      </x:c>
      <x:c r="E7" t="str">
        <x:v>Small Business</x:v>
      </x:c>
      <x:c r="F7" t="str">
        <x:v>Partner</x:v>
      </x:c>
      <x:c r="G7" t="n">
        <x:v>9</x:v>
      </x:c>
      <x:c r="H7" t="n">
        <x:v>450</x:v>
      </x:c>
      <x:c r="I7" t="n">
        <x:v>0.15</x:v>
      </x:c>
      <x:c r="J7" t="n">
        <x:v>3442.5</x:v>
      </x:c>
      <x:c r="K7" t="n">
        <x:v>1083.6</x:v>
      </x:c>
      <x:c r="L7" t="str">
        <x:v>CUST-1010</x:v>
      </x:c>
    </x:row>
    <x:row r="8">
      <x:c r="A8" t="str">
        <x:v>ORD-0007</x:v>
      </x:c>
      <x:c r="B8" t="str">
        <x:v>2025-01-19</x:v>
      </x:c>
      <x:c r="C8" t="str">
        <x:v>East</x:v>
      </x:c>
      <x:c r="D8" t="str">
        <x:v>Office Supplies</x:v>
      </x:c>
      <x:c r="E8" t="str">
        <x:v>Consumer</x:v>
      </x:c>
      <x:c r="F8" t="str">
        <x:v>Online</x:v>
      </x:c>
      <x:c r="G8" t="n">
        <x:v>7</x:v>
      </x:c>
      <x:c r="H8" t="n">
        <x:v>121</x:v>
      </x:c>
      <x:c r="I8" t="n">
        <x:v>0.18</x:v>
      </x:c>
      <x:c r="J8" t="n">
        <x:v>694.54</x:v>
      </x:c>
      <x:c r="K8" t="n">
        <x:v>284.71</x:v>
      </x:c>
      <x:c r="L8" t="str">
        <x:v>CUST-1029</x:v>
      </x:c>
    </x:row>
    <x:row r="9">
      <x:c r="A9" t="str">
        <x:v>ORD-0008</x:v>
      </x:c>
      <x:c r="B9" t="str">
        <x:v>2025-01-22</x:v>
      </x:c>
      <x:c r="C9" t="str">
        <x:v>West</x:v>
      </x:c>
      <x:c r="D9" t="str">
        <x:v>Grocery</x:v>
      </x:c>
      <x:c r="E9" t="str">
        <x:v>Corporate</x:v>
      </x:c>
      <x:c r="F9" t="str">
        <x:v>Retail</x:v>
      </x:c>
      <x:c r="G9" t="n">
        <x:v>5</x:v>
      </x:c>
      <x:c r="H9" t="n">
        <x:v>77</x:v>
      </x:c>
      <x:c r="I9" t="n">
        <x:v>0.21</x:v>
      </x:c>
      <x:c r="J9" t="n">
        <x:v>304.15</x:v>
      </x:c>
      <x:c r="K9" t="n">
        <x:v>38.62</x:v>
      </x:c>
      <x:c r="L9" t="str">
        <x:v>CUST-1048</x:v>
      </x:c>
    </x:row>
    <x:row r="10">
      <x:c r="A10" t="str">
        <x:v>ORD-0009</x:v>
      </x:c>
      <x:c r="B10" t="str">
        <x:v>2025-01-25</x:v>
      </x:c>
      <x:c r="C10" t="str">
        <x:v>North</x:v>
      </x:c>
      <x:c r="D10" t="str">
        <x:v>Furniture</x:v>
      </x:c>
      <x:c r="E10" t="str">
        <x:v>Small Business</x:v>
      </x:c>
      <x:c r="F10" t="str">
        <x:v>Partner</x:v>
      </x:c>
      <x:c r="G10" t="n">
        <x:v>3</x:v>
      </x:c>
      <x:c r="H10" t="n">
        <x:v>310</x:v>
      </x:c>
      <x:c r="I10" t="n">
        <x:v>0.24</x:v>
      </x:c>
      <x:c r="J10" t="n">
        <x:v>706.8</x:v>
      </x:c>
      <x:c r="K10" t="n">
        <x:v>109.22</x:v>
      </x:c>
      <x:c r="L10" t="str">
        <x:v>CUST-1067</x:v>
      </x:c>
    </x:row>
    <x:row r="11">
      <x:c r="A11" t="str">
        <x:v>ORD-0010</x:v>
      </x:c>
      <x:c r="B11" t="str">
        <x:v>2025-01-28</x:v>
      </x:c>
      <x:c r="C11" t="str">
        <x:v>South</x:v>
      </x:c>
      <x:c r="D11" t="str">
        <x:v>Home</x:v>
      </x:c>
      <x:c r="E11" t="str">
        <x:v>Consumer</x:v>
      </x:c>
      <x:c r="F11" t="str">
        <x:v>Online</x:v>
      </x:c>
      <x:c r="G11" t="n">
        <x:v>1</x:v>
      </x:c>
      <x:c r="H11" t="n">
        <x:v>146</x:v>
      </x:c>
      <x:c r="I11" t="n">
        <x:v>0.27</x:v>
      </x:c>
      <x:c r="J11" t="n">
        <x:v>106.58</x:v>
      </x:c>
      <x:c r="K11" t="n">
        <x:v>24.97</x:v>
      </x:c>
      <x:c r="L11" t="str">
        <x:v>CUST-1001</x:v>
      </x:c>
    </x:row>
    <x:row r="12">
      <x:c r="A12" t="str">
        <x:v>ORD-0011</x:v>
      </x:c>
      <x:c r="B12" t="str">
        <x:v>2025-01-31</x:v>
      </x:c>
      <x:c r="C12" t="str">
        <x:v>East</x:v>
      </x:c>
      <x:c r="D12" t="str">
        <x:v>Electronics</x:v>
      </x:c>
      <x:c r="E12" t="str">
        <x:v>Corporate</x:v>
      </x:c>
      <x:c r="F12" t="str">
        <x:v>Retail</x:v>
      </x:c>
      <x:c r="G12" t="n">
        <x:v>8</x:v>
      </x:c>
      <x:c r="H12" t="n">
        <x:v>432</x:v>
      </x:c>
      <x:c r="I12" t="n">
        <x:v>0.02</x:v>
      </x:c>
      <x:c r="J12" t="n">
        <x:v>3386.88</x:v>
      </x:c>
      <x:c r="K12" t="n">
        <x:v>1076.8</x:v>
      </x:c>
      <x:c r="L12" t="str">
        <x:v>CUST-1020</x:v>
      </x:c>
    </x:row>
    <x:row r="13">
      <x:c r="A13" t="str">
        <x:v>ORD-0012</x:v>
      </x:c>
      <x:c r="B13" t="str">
        <x:v>2025-02-03</x:v>
      </x:c>
      <x:c r="C13" t="str">
        <x:v>West</x:v>
      </x:c>
      <x:c r="D13" t="str">
        <x:v>Office Supplies</x:v>
      </x:c>
      <x:c r="E13" t="str">
        <x:v>Small Business</x:v>
      </x:c>
      <x:c r="F13" t="str">
        <x:v>Online</x:v>
      </x:c>
      <x:c r="G13" t="n">
        <x:v>6</x:v>
      </x:c>
      <x:c r="H13" t="n">
        <x:v>103</x:v>
      </x:c>
      <x:c r="I13" t="n">
        <x:v>0.05</x:v>
      </x:c>
      <x:c r="J13" t="n">
        <x:v>587.1</x:v>
      </x:c>
      <x:c r="K13" t="n">
        <x:v>239.58</x:v>
      </x:c>
      <x:c r="L13" t="str">
        <x:v>CUST-1039</x:v>
      </x:c>
    </x:row>
    <x:row r="14">
      <x:c r="A14" t="str">
        <x:v>ORD-0013</x:v>
      </x:c>
      <x:c r="B14" t="str">
        <x:v>2025-02-06</x:v>
      </x:c>
      <x:c r="C14" t="str">
        <x:v>North</x:v>
      </x:c>
      <x:c r="D14" t="str">
        <x:v>Grocery</x:v>
      </x:c>
      <x:c r="E14" t="str">
        <x:v>Consumer</x:v>
      </x:c>
      <x:c r="F14" t="str">
        <x:v>Retail</x:v>
      </x:c>
      <x:c r="G14" t="n">
        <x:v>4</x:v>
      </x:c>
      <x:c r="H14" t="n">
        <x:v>59</x:v>
      </x:c>
      <x:c r="I14" t="n">
        <x:v>0.08</x:v>
      </x:c>
      <x:c r="J14" t="n">
        <x:v>217.12</x:v>
      </x:c>
      <x:c r="K14" t="n">
        <x:v>45.11</x:v>
      </x:c>
      <x:c r="L14" t="str">
        <x:v>CUST-1058</x:v>
      </x:c>
    </x:row>
    <x:row r="15">
      <x:c r="A15" t="str">
        <x:v>ORD-0014</x:v>
      </x:c>
      <x:c r="B15" t="str">
        <x:v>2025-02-09</x:v>
      </x:c>
      <x:c r="C15" t="str">
        <x:v>South</x:v>
      </x:c>
      <x:c r="D15" t="str">
        <x:v>Office Supplies</x:v>
      </x:c>
      <x:c r="E15" t="str">
        <x:v>Corporate</x:v>
      </x:c>
      <x:c r="F15" t="str">
        <x:v>Partner</x:v>
      </x:c>
      <x:c r="G15" t="n">
        <x:v>2</x:v>
      </x:c>
      <x:c r="H15" t="n">
        <x:v>115</x:v>
      </x:c>
      <x:c r="I15" t="n">
        <x:v>0.11</x:v>
      </x:c>
      <x:c r="J15" t="n">
        <x:v>204.7</x:v>
      </x:c>
      <x:c r="K15" t="n">
        <x:v>67.97</x:v>
      </x:c>
      <x:c r="L15" t="str">
        <x:v>CUST-1077</x:v>
      </x:c>
    </x:row>
    <x:row r="16">
      <x:c r="A16" t="str">
        <x:v>ORD-0015</x:v>
      </x:c>
      <x:c r="B16" t="str">
        <x:v>2025-02-12</x:v>
      </x:c>
      <x:c r="C16" t="str">
        <x:v>East</x:v>
      </x:c>
      <x:c r="D16" t="str">
        <x:v>Grocery</x:v>
      </x:c>
      <x:c r="E16" t="str">
        <x:v>Small Business</x:v>
      </x:c>
      <x:c r="F16" t="str">
        <x:v>Online</x:v>
      </x:c>
      <x:c r="G16" t="n">
        <x:v>9</x:v>
      </x:c>
      <x:c r="H16" t="n">
        <x:v>71</x:v>
      </x:c>
      <x:c r="I16" t="n">
        <x:v>0.14</x:v>
      </x:c>
      <x:c r="J16" t="n">
        <x:v>549.54</x:v>
      </x:c>
      <x:c r="K16" t="n">
        <x:v>124.89</x:v>
      </x:c>
      <x:c r="L16" t="str">
        <x:v>CUST-1011</x:v>
      </x:c>
    </x:row>
    <x:row r="17">
      <x:c r="A17" t="str">
        <x:v>ORD-0016</x:v>
      </x:c>
      <x:c r="B17" t="str">
        <x:v>2025-02-15</x:v>
      </x:c>
      <x:c r="C17" t="str">
        <x:v>West</x:v>
      </x:c>
      <x:c r="D17" t="str">
        <x:v>Furniture</x:v>
      </x:c>
      <x:c r="E17" t="str">
        <x:v>Consumer</x:v>
      </x:c>
      <x:c r="F17" t="str">
        <x:v>Retail</x:v>
      </x:c>
      <x:c r="G17" t="n">
        <x:v>7</x:v>
      </x:c>
      <x:c r="H17" t="n">
        <x:v>352</x:v>
      </x:c>
      <x:c r="I17" t="n">
        <x:v>0.17</x:v>
      </x:c>
      <x:c r="J17" t="n">
        <x:v>2045.12</x:v>
      </x:c>
      <x:c r="K17" t="n">
        <x:v>545.18</x:v>
      </x:c>
      <x:c r="L17" t="str">
        <x:v>CUST-1030</x:v>
      </x:c>
    </x:row>
    <x:row r="18">
      <x:c r="A18" t="str">
        <x:v>ORD-0017</x:v>
      </x:c>
      <x:c r="B18" t="str">
        <x:v>2025-02-18</x:v>
      </x:c>
      <x:c r="C18" t="str">
        <x:v>North</x:v>
      </x:c>
      <x:c r="D18" t="str">
        <x:v>Home</x:v>
      </x:c>
      <x:c r="E18" t="str">
        <x:v>Corporate</x:v>
      </x:c>
      <x:c r="F18" t="str">
        <x:v>Partner</x:v>
      </x:c>
      <x:c r="G18" t="n">
        <x:v>5</x:v>
      </x:c>
      <x:c r="H18" t="n">
        <x:v>140</x:v>
      </x:c>
      <x:c r="I18" t="n">
        <x:v>0.2</x:v>
      </x:c>
      <x:c r="J18" t="n">
        <x:v>560</x:v>
      </x:c>
      <x:c r="K18" t="n">
        <x:v>150</x:v>
      </x:c>
      <x:c r="L18" t="str">
        <x:v>CUST-1049</x:v>
      </x:c>
    </x:row>
    <x:row r="19">
      <x:c r="A19" t="str">
        <x:v>ORD-0018</x:v>
      </x:c>
      <x:c r="B19" t="str">
        <x:v>2025-02-21</x:v>
      </x:c>
      <x:c r="C19" t="str">
        <x:v>South</x:v>
      </x:c>
      <x:c r="D19" t="str">
        <x:v>Electronics</x:v>
      </x:c>
      <x:c r="E19" t="str">
        <x:v>Consumer</x:v>
      </x:c>
      <x:c r="F19" t="str">
        <x:v>Online</x:v>
      </x:c>
      <x:c r="G19" t="n">
        <x:v>3</x:v>
      </x:c>
      <x:c r="H19" t="n">
        <x:v>426</x:v>
      </x:c>
      <x:c r="I19" t="n">
        <x:v>0.23</x:v>
      </x:c>
      <x:c r="J19" t="n">
        <x:v>984.06</x:v>
      </x:c>
      <x:c r="K19" t="n">
        <x:v>219.33</x:v>
      </x:c>
      <x:c r="L19" t="str">
        <x:v>CUST-1068</x:v>
      </x:c>
    </x:row>
    <x:row r="20">
      <x:c r="A20" t="str">
        <x:v>ORD-0019</x:v>
      </x:c>
      <x:c r="B20" t="str">
        <x:v>2025-02-24</x:v>
      </x:c>
      <x:c r="C20" t="str">
        <x:v>East</x:v>
      </x:c>
      <x:c r="D20" t="str">
        <x:v>Office Supplies</x:v>
      </x:c>
      <x:c r="E20" t="str">
        <x:v>Corporate</x:v>
      </x:c>
      <x:c r="F20" t="str">
        <x:v>Retail</x:v>
      </x:c>
      <x:c r="G20" t="n">
        <x:v>1</x:v>
      </x:c>
      <x:c r="H20" t="n">
        <x:v>97</x:v>
      </x:c>
      <x:c r="I20" t="n">
        <x:v>0.26</x:v>
      </x:c>
      <x:c r="J20" t="n">
        <x:v>71.78</x:v>
      </x:c>
      <x:c r="K20" t="n">
        <x:v>16.69</x:v>
      </x:c>
      <x:c r="L20" t="str">
        <x:v>CUST-1002</x:v>
      </x:c>
    </x:row>
    <x:row r="21">
      <x:c r="A21" t="str">
        <x:v>ORD-0020</x:v>
      </x:c>
      <x:c r="B21" t="str">
        <x:v>2025-02-27</x:v>
      </x:c>
      <x:c r="C21" t="str">
        <x:v>West</x:v>
      </x:c>
      <x:c r="D21" t="str">
        <x:v>Grocery</x:v>
      </x:c>
      <x:c r="E21" t="str">
        <x:v>Small Business</x:v>
      </x:c>
      <x:c r="F21" t="str">
        <x:v>Partner</x:v>
      </x:c>
      <x:c r="G21" t="n">
        <x:v>8</x:v>
      </x:c>
      <x:c r="H21" t="n">
        <x:v>53</x:v>
      </x:c>
      <x:c r="I21" t="n">
        <x:v>0.01</x:v>
      </x:c>
      <x:c r="J21" t="n">
        <x:v>419.76</x:v>
      </x:c>
      <x:c r="K21" t="n">
        <x:v>82.74</x:v>
      </x:c>
      <x:c r="L21" t="str">
        <x:v>CUST-1021</x:v>
      </x:c>
    </x:row>
    <x:row r="22">
      <x:c r="A22" t="str">
        <x:v>ORD-0021</x:v>
      </x:c>
      <x:c r="B22" t="str">
        <x:v>2025-03-02</x:v>
      </x:c>
      <x:c r="C22" t="str">
        <x:v>North</x:v>
      </x:c>
      <x:c r="D22" t="str">
        <x:v>Furniture</x:v>
      </x:c>
      <x:c r="E22" t="str">
        <x:v>Consumer</x:v>
      </x:c>
      <x:c r="F22" t="str">
        <x:v>Online</x:v>
      </x:c>
      <x:c r="G22" t="n">
        <x:v>6</x:v>
      </x:c>
      <x:c r="H22" t="n">
        <x:v>334</x:v>
      </x:c>
      <x:c r="I22" t="n">
        <x:v>0.04</x:v>
      </x:c>
      <x:c r="J22" t="n">
        <x:v>1923.84</x:v>
      </x:c>
      <x:c r="K22" t="n">
        <x:v>512.44</x:v>
      </x:c>
      <x:c r="L22" t="str">
        <x:v>CUST-1040</x:v>
      </x:c>
    </x:row>
    <x:row r="23">
      <x:c r="A23" t="str">
        <x:v>ORD-0022</x:v>
      </x:c>
      <x:c r="B23" t="str">
        <x:v>2025-03-05</x:v>
      </x:c>
      <x:c r="C23" t="str">
        <x:v>South</x:v>
      </x:c>
      <x:c r="D23" t="str">
        <x:v>Home</x:v>
      </x:c>
      <x:c r="E23" t="str">
        <x:v>Corporate</x:v>
      </x:c>
      <x:c r="F23" t="str">
        <x:v>Retail</x:v>
      </x:c>
      <x:c r="G23" t="n">
        <x:v>4</x:v>
      </x:c>
      <x:c r="H23" t="n">
        <x:v>170</x:v>
      </x:c>
      <x:c r="I23" t="n">
        <x:v>0.07</x:v>
      </x:c>
      <x:c r="J23" t="n">
        <x:v>632.4</x:v>
      </x:c>
      <x:c r="K23" t="n">
        <x:v>239.64</x:v>
      </x:c>
      <x:c r="L23" t="str">
        <x:v>CUST-1059</x:v>
      </x:c>
    </x:row>
    <x:row r="24">
      <x:c r="A24" t="str">
        <x:v>ORD-0023</x:v>
      </x:c>
      <x:c r="B24" t="str">
        <x:v>2025-03-08</x:v>
      </x:c>
      <x:c r="C24" t="str">
        <x:v>East</x:v>
      </x:c>
      <x:c r="D24" t="str">
        <x:v>Electronics</x:v>
      </x:c>
      <x:c r="E24" t="str">
        <x:v>Small Business</x:v>
      </x:c>
      <x:c r="F24" t="str">
        <x:v>Online</x:v>
      </x:c>
      <x:c r="G24" t="n">
        <x:v>2</x:v>
      </x:c>
      <x:c r="H24" t="n">
        <x:v>456</x:v>
      </x:c>
      <x:c r="I24" t="n">
        <x:v>0.1</x:v>
      </x:c>
      <x:c r="J24" t="n">
        <x:v>820.8</x:v>
      </x:c>
      <x:c r="K24" t="n">
        <x:v>255.66</x:v>
      </x:c>
      <x:c r="L24" t="str">
        <x:v>CUST-1078</x:v>
      </x:c>
    </x:row>
    <x:row r="25">
      <x:c r="A25" t="str">
        <x:v>ORD-0024</x:v>
      </x:c>
      <x:c r="B25" t="str">
        <x:v>2025-03-11</x:v>
      </x:c>
      <x:c r="C25" t="str">
        <x:v>West</x:v>
      </x:c>
      <x:c r="D25" t="str">
        <x:v>Office Supplies</x:v>
      </x:c>
      <x:c r="E25" t="str">
        <x:v>Consumer</x:v>
      </x:c>
      <x:c r="F25" t="str">
        <x:v>Retail</x:v>
      </x:c>
      <x:c r="G25" t="n">
        <x:v>9</x:v>
      </x:c>
      <x:c r="H25" t="n">
        <x:v>127</x:v>
      </x:c>
      <x:c r="I25" t="n">
        <x:v>0.13</x:v>
      </x:c>
      <x:c r="J25" t="n">
        <x:v>994.41</x:v>
      </x:c>
      <x:c r="K25" t="n">
        <x:v>410.65</x:v>
      </x:c>
      <x:c r="L25" t="str">
        <x:v>CUST-1012</x:v>
      </x:c>
    </x:row>
    <x:row r="26">
      <x:c r="A26" t="str">
        <x:v>ORD-0025</x:v>
      </x:c>
      <x:c r="B26" t="str">
        <x:v>2025-03-14</x:v>
      </x:c>
      <x:c r="C26" t="str">
        <x:v>North</x:v>
      </x:c>
      <x:c r="D26" t="str">
        <x:v>Grocery</x:v>
      </x:c>
      <x:c r="E26" t="str">
        <x:v>Corporate</x:v>
      </x:c>
      <x:c r="F26" t="str">
        <x:v>Partner</x:v>
      </x:c>
      <x:c r="G26" t="n">
        <x:v>7</x:v>
      </x:c>
      <x:c r="H26" t="n">
        <x:v>35</x:v>
      </x:c>
      <x:c r="I26" t="n">
        <x:v>0.16</x:v>
      </x:c>
      <x:c r="J26" t="n">
        <x:v>205.8</x:v>
      </x:c>
      <x:c r="K26" t="n">
        <x:v>31.39</x:v>
      </x:c>
      <x:c r="L26" t="str">
        <x:v>CUST-1031</x:v>
      </x:c>
    </x:row>
    <x:row r="27">
      <x:c r="A27" t="str">
        <x:v>ORD-0026</x:v>
      </x:c>
      <x:c r="B27" t="str">
        <x:v>2025-03-17</x:v>
      </x:c>
      <x:c r="C27" t="str">
        <x:v>South</x:v>
      </x:c>
      <x:c r="D27" t="str">
        <x:v>Furniture</x:v>
      </x:c>
      <x:c r="E27" t="str">
        <x:v>Small Business</x:v>
      </x:c>
      <x:c r="F27" t="str">
        <x:v>Online</x:v>
      </x:c>
      <x:c r="G27" t="n">
        <x:v>5</x:v>
      </x:c>
      <x:c r="H27" t="n">
        <x:v>316</x:v>
      </x:c>
      <x:c r="I27" t="n">
        <x:v>0.19</x:v>
      </x:c>
      <x:c r="J27" t="n">
        <x:v>1279.8</x:v>
      </x:c>
      <x:c r="K27" t="n">
        <x:v>223.36</x:v>
      </x:c>
      <x:c r="L27" t="str">
        <x:v>CUST-1050</x:v>
      </x:c>
    </x:row>
    <x:row r="28">
      <x:c r="A28" t="str">
        <x:v>ORD-0027</x:v>
      </x:c>
      <x:c r="B28" t="str">
        <x:v>2025-03-20</x:v>
      </x:c>
      <x:c r="C28" t="str">
        <x:v>East</x:v>
      </x:c>
      <x:c r="D28" t="str">
        <x:v>Grocery</x:v>
      </x:c>
      <x:c r="E28" t="str">
        <x:v>Consumer</x:v>
      </x:c>
      <x:c r="F28" t="str">
        <x:v>Retail</x:v>
      </x:c>
      <x:c r="G28" t="n">
        <x:v>3</x:v>
      </x:c>
      <x:c r="H28" t="n">
        <x:v>47</x:v>
      </x:c>
      <x:c r="I28" t="n">
        <x:v>0.22</x:v>
      </x:c>
      <x:c r="J28" t="n">
        <x:v>109.98</x:v>
      </x:c>
      <x:c r="K28" t="n">
        <x:v>9.5</x:v>
      </x:c>
      <x:c r="L28" t="str">
        <x:v>CUST-1069</x:v>
      </x:c>
    </x:row>
    <x:row r="29">
      <x:c r="A29" t="str">
        <x:v>ORD-0028</x:v>
      </x:c>
      <x:c r="B29" t="str">
        <x:v>2025-03-23</x:v>
      </x:c>
      <x:c r="C29" t="str">
        <x:v>West</x:v>
      </x:c>
      <x:c r="D29" t="str">
        <x:v>Furniture</x:v>
      </x:c>
      <x:c r="E29" t="str">
        <x:v>Corporate</x:v>
      </x:c>
      <x:c r="F29" t="str">
        <x:v>Partner</x:v>
      </x:c>
      <x:c r="G29" t="n">
        <x:v>1</x:v>
      </x:c>
      <x:c r="H29" t="n">
        <x:v>328</x:v>
      </x:c>
      <x:c r="I29" t="n">
        <x:v>0.25</x:v>
      </x:c>
      <x:c r="J29" t="n">
        <x:v>246</x:v>
      </x:c>
      <x:c r="K29" t="n">
        <x:v>26.28</x:v>
      </x:c>
      <x:c r="L29" t="str">
        <x:v>CUST-1003</x:v>
      </x:c>
    </x:row>
    <x:row r="30">
      <x:c r="A30" t="str">
        <x:v>ORD-0029</x:v>
      </x:c>
      <x:c r="B30" t="str">
        <x:v>2025-03-26</x:v>
      </x:c>
      <x:c r="C30" t="str">
        <x:v>North</x:v>
      </x:c>
      <x:c r="D30" t="str">
        <x:v>Home</x:v>
      </x:c>
      <x:c r="E30" t="str">
        <x:v>Small Business</x:v>
      </x:c>
      <x:c r="F30" t="str">
        <x:v>Online</x:v>
      </x:c>
      <x:c r="G30" t="n">
        <x:v>8</x:v>
      </x:c>
      <x:c r="H30" t="n">
        <x:v>164</x:v>
      </x:c>
      <x:c r="I30" t="n">
        <x:v>0</x:v>
      </x:c>
      <x:c r="J30" t="n">
        <x:v>1312</x:v>
      </x:c>
      <x:c r="K30" t="n">
        <x:v>504.68</x:v>
      </x:c>
      <x:c r="L30" t="str">
        <x:v>CUST-1022</x:v>
      </x:c>
    </x:row>
    <x:row r="31">
      <x:c r="A31" t="str">
        <x:v>ORD-0030</x:v>
      </x:c>
      <x:c r="B31" t="str">
        <x:v>2025-03-29</x:v>
      </x:c>
      <x:c r="C31" t="str">
        <x:v>South</x:v>
      </x:c>
      <x:c r="D31" t="str">
        <x:v>Electronics</x:v>
      </x:c>
      <x:c r="E31" t="str">
        <x:v>Consumer</x:v>
      </x:c>
      <x:c r="F31" t="str">
        <x:v>Retail</x:v>
      </x:c>
      <x:c r="G31" t="n">
        <x:v>6</x:v>
      </x:c>
      <x:c r="H31" t="n">
        <x:v>450</x:v>
      </x:c>
      <x:c r="I31" t="n">
        <x:v>0.03</x:v>
      </x:c>
      <x:c r="J31" t="n">
        <x:v>2619</x:v>
      </x:c>
      <x:c r="K31" t="n">
        <x:v>831.08</x:v>
      </x:c>
      <x:c r="L31" t="str">
        <x:v>CUST-1041</x:v>
      </x:c>
    </x:row>
    <x:row r="32">
      <x:c r="A32" t="str">
        <x:v>ORD-0031</x:v>
      </x:c>
      <x:c r="B32" t="str">
        <x:v>2025-04-01</x:v>
      </x:c>
      <x:c r="C32" t="str">
        <x:v>East</x:v>
      </x:c>
      <x:c r="D32" t="str">
        <x:v>Office Supplies</x:v>
      </x:c>
      <x:c r="E32" t="str">
        <x:v>Corporate</x:v>
      </x:c>
      <x:c r="F32" t="str">
        <x:v>Partner</x:v>
      </x:c>
      <x:c r="G32" t="n">
        <x:v>4</x:v>
      </x:c>
      <x:c r="H32" t="n">
        <x:v>121</x:v>
      </x:c>
      <x:c r="I32" t="n">
        <x:v>0.06</x:v>
      </x:c>
      <x:c r="J32" t="n">
        <x:v>454.96</x:v>
      </x:c>
      <x:c r="K32" t="n">
        <x:v>173.08</x:v>
      </x:c>
      <x:c r="L32" t="str">
        <x:v>CUST-1060</x:v>
      </x:c>
    </x:row>
    <x:row r="33">
      <x:c r="A33" t="str">
        <x:v>ORD-0032</x:v>
      </x:c>
      <x:c r="B33" t="str">
        <x:v>2025-04-04</x:v>
      </x:c>
      <x:c r="C33" t="str">
        <x:v>West</x:v>
      </x:c>
      <x:c r="D33" t="str">
        <x:v>Grocery</x:v>
      </x:c>
      <x:c r="E33" t="str">
        <x:v>Small Business</x:v>
      </x:c>
      <x:c r="F33" t="str">
        <x:v>Online</x:v>
      </x:c>
      <x:c r="G33" t="n">
        <x:v>2</x:v>
      </x:c>
      <x:c r="H33" t="n">
        <x:v>77</x:v>
      </x:c>
      <x:c r="I33" t="n">
        <x:v>0.09</x:v>
      </x:c>
      <x:c r="J33" t="n">
        <x:v>140.14</x:v>
      </x:c>
      <x:c r="K33" t="n">
        <x:v>26.63</x:v>
      </x:c>
      <x:c r="L33" t="str">
        <x:v>CUST-1079</x:v>
      </x:c>
    </x:row>
    <x:row r="34">
      <x:c r="A34" t="str">
        <x:v>ORD-0033</x:v>
      </x:c>
      <x:c r="B34" t="str">
        <x:v>2025-04-07</x:v>
      </x:c>
      <x:c r="C34" t="str">
        <x:v>North</x:v>
      </x:c>
      <x:c r="D34" t="str">
        <x:v>Furniture</x:v>
      </x:c>
      <x:c r="E34" t="str">
        <x:v>Consumer</x:v>
      </x:c>
      <x:c r="F34" t="str">
        <x:v>Retail</x:v>
      </x:c>
      <x:c r="G34" t="n">
        <x:v>9</x:v>
      </x:c>
      <x:c r="H34" t="n">
        <x:v>310</x:v>
      </x:c>
      <x:c r="I34" t="n">
        <x:v>0.12</x:v>
      </x:c>
      <x:c r="J34" t="n">
        <x:v>2455.2</x:v>
      </x:c>
      <x:c r="K34" t="n">
        <x:v>655.9</x:v>
      </x:c>
      <x:c r="L34" t="str">
        <x:v>CUST-1013</x:v>
      </x:c>
    </x:row>
    <x:row r="35">
      <x:c r="A35" t="str">
        <x:v>ORD-0034</x:v>
      </x:c>
      <x:c r="B35" t="str">
        <x:v>2025-04-10</x:v>
      </x:c>
      <x:c r="C35" t="str">
        <x:v>South</x:v>
      </x:c>
      <x:c r="D35" t="str">
        <x:v>Home</x:v>
      </x:c>
      <x:c r="E35" t="str">
        <x:v>Corporate</x:v>
      </x:c>
      <x:c r="F35" t="str">
        <x:v>Online</x:v>
      </x:c>
      <x:c r="G35" t="n">
        <x:v>7</x:v>
      </x:c>
      <x:c r="H35" t="n">
        <x:v>146</x:v>
      </x:c>
      <x:c r="I35" t="n">
        <x:v>0.15</x:v>
      </x:c>
      <x:c r="J35" t="n">
        <x:v>868.7</x:v>
      </x:c>
      <x:c r="K35" t="n">
        <x:v>331.79</x:v>
      </x:c>
      <x:c r="L35" t="str">
        <x:v>CUST-1032</x:v>
      </x:c>
    </x:row>
    <x:row r="36">
      <x:c r="A36" t="str">
        <x:v>ORD-0035</x:v>
      </x:c>
      <x:c r="B36" t="str">
        <x:v>2025-04-13</x:v>
      </x:c>
      <x:c r="C36" t="str">
        <x:v>East</x:v>
      </x:c>
      <x:c r="D36" t="str">
        <x:v>Electronics</x:v>
      </x:c>
      <x:c r="E36" t="str">
        <x:v>Consumer</x:v>
      </x:c>
      <x:c r="F36" t="str">
        <x:v>Retail</x:v>
      </x:c>
      <x:c r="G36" t="n">
        <x:v>5</x:v>
      </x:c>
      <x:c r="H36" t="n">
        <x:v>432</x:v>
      </x:c>
      <x:c r="I36" t="n">
        <x:v>0.18</x:v>
      </x:c>
      <x:c r="J36" t="n">
        <x:v>1771.2</x:v>
      </x:c>
      <x:c r="K36" t="n">
        <x:v>559.78</x:v>
      </x:c>
      <x:c r="L36" t="str">
        <x:v>CUST-1051</x:v>
      </x:c>
    </x:row>
    <x:row r="37">
      <x:c r="A37" t="str">
        <x:v>ORD-0036</x:v>
      </x:c>
      <x:c r="B37" t="str">
        <x:v>2025-04-16</x:v>
      </x:c>
      <x:c r="C37" t="str">
        <x:v>West</x:v>
      </x:c>
      <x:c r="D37" t="str">
        <x:v>Office Supplies</x:v>
      </x:c>
      <x:c r="E37" t="str">
        <x:v>Corporate</x:v>
      </x:c>
      <x:c r="F37" t="str">
        <x:v>Partner</x:v>
      </x:c>
      <x:c r="G37" t="n">
        <x:v>3</x:v>
      </x:c>
      <x:c r="H37" t="n">
        <x:v>103</x:v>
      </x:c>
      <x:c r="I37" t="n">
        <x:v>0.21</x:v>
      </x:c>
      <x:c r="J37" t="n">
        <x:v>244.11</x:v>
      </x:c>
      <x:c r="K37" t="n">
        <x:v>62.56</x:v>
      </x:c>
      <x:c r="L37" t="str">
        <x:v>CUST-1070</x:v>
      </x:c>
    </x:row>
    <x:row r="38">
      <x:c r="A38" t="str">
        <x:v>ORD-0037</x:v>
      </x:c>
      <x:c r="B38" t="str">
        <x:v>2025-04-19</x:v>
      </x:c>
      <x:c r="C38" t="str">
        <x:v>North</x:v>
      </x:c>
      <x:c r="D38" t="str">
        <x:v>Grocery</x:v>
      </x:c>
      <x:c r="E38" t="str">
        <x:v>Small Business</x:v>
      </x:c>
      <x:c r="F38" t="str">
        <x:v>Online</x:v>
      </x:c>
      <x:c r="G38" t="n">
        <x:v>1</x:v>
      </x:c>
      <x:c r="H38" t="n">
        <x:v>59</x:v>
      </x:c>
      <x:c r="I38" t="n">
        <x:v>0.24</x:v>
      </x:c>
      <x:c r="J38" t="n">
        <x:v>44.84</x:v>
      </x:c>
      <x:c r="K38" t="n">
        <x:v>-0.27</x:v>
      </x:c>
      <x:c r="L38" t="str">
        <x:v>CUST-1004</x:v>
      </x:c>
    </x:row>
    <x:row r="39">
      <x:c r="A39" t="str">
        <x:v>ORD-0038</x:v>
      </x:c>
      <x:c r="B39" t="str">
        <x:v>2025-04-22</x:v>
      </x:c>
      <x:c r="C39" t="str">
        <x:v>South</x:v>
      </x:c>
      <x:c r="D39" t="str">
        <x:v>Furniture</x:v>
      </x:c>
      <x:c r="E39" t="str">
        <x:v>Consumer</x:v>
      </x:c>
      <x:c r="F39" t="str">
        <x:v>Retail</x:v>
      </x:c>
      <x:c r="G39" t="n">
        <x:v>8</x:v>
      </x:c>
      <x:c r="H39" t="n">
        <x:v>340</x:v>
      </x:c>
      <x:c r="I39" t="n">
        <x:v>0.27</x:v>
      </x:c>
      <x:c r="J39" t="n">
        <x:v>1985.6</x:v>
      </x:c>
      <x:c r="K39" t="n">
        <x:v>350.41</x:v>
      </x:c>
      <x:c r="L39" t="str">
        <x:v>CUST-1023</x:v>
      </x:c>
    </x:row>
    <x:row r="40">
      <x:c r="A40" t="str">
        <x:v>ORD-0039</x:v>
      </x:c>
      <x:c r="B40" t="str">
        <x:v>2025-04-25</x:v>
      </x:c>
      <x:c r="C40" t="str">
        <x:v>East</x:v>
      </x:c>
      <x:c r="D40" t="str">
        <x:v>Home</x:v>
      </x:c>
      <x:c r="E40" t="str">
        <x:v>Corporate</x:v>
      </x:c>
      <x:c r="F40" t="str">
        <x:v>Partner</x:v>
      </x:c>
      <x:c r="G40" t="n">
        <x:v>6</x:v>
      </x:c>
      <x:c r="H40" t="n">
        <x:v>176</x:v>
      </x:c>
      <x:c r="I40" t="n">
        <x:v>0.02</x:v>
      </x:c>
      <x:c r="J40" t="n">
        <x:v>1034.88</x:v>
      </x:c>
      <x:c r="K40" t="n">
        <x:v>385.6</x:v>
      </x:c>
      <x:c r="L40" t="str">
        <x:v>CUST-1042</x:v>
      </x:c>
    </x:row>
    <x:row r="41">
      <x:c r="A41" t="str">
        <x:v>ORD-0040</x:v>
      </x:c>
      <x:c r="B41" t="str">
        <x:v>2025-04-28</x:v>
      </x:c>
      <x:c r="C41" t="str">
        <x:v>West</x:v>
      </x:c>
      <x:c r="D41" t="str">
        <x:v>Furniture</x:v>
      </x:c>
      <x:c r="E41" t="str">
        <x:v>Small Business</x:v>
      </x:c>
      <x:c r="F41" t="str">
        <x:v>Online</x:v>
      </x:c>
      <x:c r="G41" t="n">
        <x:v>4</x:v>
      </x:c>
      <x:c r="H41" t="n">
        <x:v>352</x:v>
      </x:c>
      <x:c r="I41" t="n">
        <x:v>0.05</x:v>
      </x:c>
      <x:c r="J41" t="n">
        <x:v>1337.6</x:v>
      </x:c>
      <x:c r="K41" t="n">
        <x:v>354.15</x:v>
      </x:c>
      <x:c r="L41" t="str">
        <x:v>CUST-1061</x:v>
      </x:c>
    </x:row>
    <x:row r="42">
      <x:c r="A42" t="str">
        <x:v>ORD-0041</x:v>
      </x:c>
      <x:c r="B42" t="str">
        <x:v>2025-05-01</x:v>
      </x:c>
      <x:c r="C42" t="str">
        <x:v>North</x:v>
      </x:c>
      <x:c r="D42" t="str">
        <x:v>Home</x:v>
      </x:c>
      <x:c r="E42" t="str">
        <x:v>Consumer</x:v>
      </x:c>
      <x:c r="F42" t="str">
        <x:v>Retail</x:v>
      </x:c>
      <x:c r="G42" t="n">
        <x:v>2</x:v>
      </x:c>
      <x:c r="H42" t="n">
        <x:v>140</x:v>
      </x:c>
      <x:c r="I42" t="n">
        <x:v>0.08</x:v>
      </x:c>
      <x:c r="J42" t="n">
        <x:v>257.6</x:v>
      </x:c>
      <x:c r="K42" t="n">
        <x:v>93.46</x:v>
      </x:c>
      <x:c r="L42" t="str">
        <x:v>CUST-1080</x:v>
      </x:c>
    </x:row>
    <x:row r="43">
      <x:c r="A43" t="str">
        <x:v>ORD-0042</x:v>
      </x:c>
      <x:c r="B43" t="str">
        <x:v>2025-05-04</x:v>
      </x:c>
      <x:c r="C43" t="str">
        <x:v>South</x:v>
      </x:c>
      <x:c r="D43" t="str">
        <x:v>Electronics</x:v>
      </x:c>
      <x:c r="E43" t="str">
        <x:v>Corporate</x:v>
      </x:c>
      <x:c r="F43" t="str">
        <x:v>Partner</x:v>
      </x:c>
      <x:c r="G43" t="n">
        <x:v>9</x:v>
      </x:c>
      <x:c r="H43" t="n">
        <x:v>426</x:v>
      </x:c>
      <x:c r="I43" t="n">
        <x:v>0.11</x:v>
      </x:c>
      <x:c r="J43" t="n">
        <x:v>3412.26</x:v>
      </x:c>
      <x:c r="K43" t="n">
        <x:v>1073.92</x:v>
      </x:c>
      <x:c r="L43" t="str">
        <x:v>CUST-1014</x:v>
      </x:c>
    </x:row>
    <x:row r="44">
      <x:c r="A44" t="str">
        <x:v>ORD-0043</x:v>
      </x:c>
      <x:c r="B44" t="str">
        <x:v>2025-05-07</x:v>
      </x:c>
      <x:c r="C44" t="str">
        <x:v>East</x:v>
      </x:c>
      <x:c r="D44" t="str">
        <x:v>Office Supplies</x:v>
      </x:c>
      <x:c r="E44" t="str">
        <x:v>Small Business</x:v>
      </x:c>
      <x:c r="F44" t="str">
        <x:v>Online</x:v>
      </x:c>
      <x:c r="G44" t="n">
        <x:v>7</x:v>
      </x:c>
      <x:c r="H44" t="n">
        <x:v>97</x:v>
      </x:c>
      <x:c r="I44" t="n">
        <x:v>0.14</x:v>
      </x:c>
      <x:c r="J44" t="n">
        <x:v>583.94</x:v>
      </x:c>
      <x:c r="K44" t="n">
        <x:v>238.25</x:v>
      </x:c>
      <x:c r="L44" t="str">
        <x:v>CUST-1033</x:v>
      </x:c>
    </x:row>
    <x:row r="45">
      <x:c r="A45" t="str">
        <x:v>ORD-0044</x:v>
      </x:c>
      <x:c r="B45" t="str">
        <x:v>2025-05-10</x:v>
      </x:c>
      <x:c r="C45" t="str">
        <x:v>West</x:v>
      </x:c>
      <x:c r="D45" t="str">
        <x:v>Grocery</x:v>
      </x:c>
      <x:c r="E45" t="str">
        <x:v>Consumer</x:v>
      </x:c>
      <x:c r="F45" t="str">
        <x:v>Retail</x:v>
      </x:c>
      <x:c r="G45" t="n">
        <x:v>5</x:v>
      </x:c>
      <x:c r="H45" t="n">
        <x:v>53</x:v>
      </x:c>
      <x:c r="I45" t="n">
        <x:v>0.17</x:v>
      </x:c>
      <x:c r="J45" t="n">
        <x:v>219.95</x:v>
      </x:c>
      <x:c r="K45" t="n">
        <x:v>45.79</x:v>
      </x:c>
      <x:c r="L45" t="str">
        <x:v>CUST-1052</x:v>
      </x:c>
    </x:row>
    <x:row r="46">
      <x:c r="A46" t="str">
        <x:v>ORD-0045</x:v>
      </x:c>
      <x:c r="B46" t="str">
        <x:v>2025-05-13</x:v>
      </x:c>
      <x:c r="C46" t="str">
        <x:v>North</x:v>
      </x:c>
      <x:c r="D46" t="str">
        <x:v>Furniture</x:v>
      </x:c>
      <x:c r="E46" t="str">
        <x:v>Corporate</x:v>
      </x:c>
      <x:c r="F46" t="str">
        <x:v>Online</x:v>
      </x:c>
      <x:c r="G46" t="n">
        <x:v>3</x:v>
      </x:c>
      <x:c r="H46" t="n">
        <x:v>334</x:v>
      </x:c>
      <x:c r="I46" t="n">
        <x:v>0.2</x:v>
      </x:c>
      <x:c r="J46" t="n">
        <x:v>801.6</x:v>
      </x:c>
      <x:c r="K46" t="n">
        <x:v>137.29</x:v>
      </x:c>
      <x:c r="L46" t="str">
        <x:v>CUST-1071</x:v>
      </x:c>
    </x:row>
    <x:row r="47">
      <x:c r="A47" t="str">
        <x:v>ORD-0046</x:v>
      </x:c>
      <x:c r="B47" t="str">
        <x:v>2025-05-16</x:v>
      </x:c>
      <x:c r="C47" t="str">
        <x:v>South</x:v>
      </x:c>
      <x:c r="D47" t="str">
        <x:v>Home</x:v>
      </x:c>
      <x:c r="E47" t="str">
        <x:v>Small Business</x:v>
      </x:c>
      <x:c r="F47" t="str">
        <x:v>Retail</x:v>
      </x:c>
      <x:c r="G47" t="n">
        <x:v>1</x:v>
      </x:c>
      <x:c r="H47" t="n">
        <x:v>170</x:v>
      </x:c>
      <x:c r="I47" t="n">
        <x:v>0.23</x:v>
      </x:c>
      <x:c r="J47" t="n">
        <x:v>130.9</x:v>
      </x:c>
      <x:c r="K47" t="n">
        <x:v>32.27</x:v>
      </x:c>
      <x:c r="L47" t="str">
        <x:v>CUST-1005</x:v>
      </x:c>
    </x:row>
    <x:row r="48">
      <x:c r="A48" t="str">
        <x:v>ORD-0047</x:v>
      </x:c>
      <x:c r="B48" t="str">
        <x:v>2025-05-19</x:v>
      </x:c>
      <x:c r="C48" t="str">
        <x:v>East</x:v>
      </x:c>
      <x:c r="D48" t="str">
        <x:v>Electronics</x:v>
      </x:c>
      <x:c r="E48" t="str">
        <x:v>Consumer</x:v>
      </x:c>
      <x:c r="F48" t="str">
        <x:v>Partner</x:v>
      </x:c>
      <x:c r="G48" t="n">
        <x:v>8</x:v>
      </x:c>
      <x:c r="H48" t="n">
        <x:v>456</x:v>
      </x:c>
      <x:c r="I48" t="n">
        <x:v>0.26</x:v>
      </x:c>
      <x:c r="J48" t="n">
        <x:v>2699.52</x:v>
      </x:c>
      <x:c r="K48" t="n">
        <x:v>602.89</x:v>
      </x:c>
      <x:c r="L48" t="str">
        <x:v>CUST-1024</x:v>
      </x:c>
    </x:row>
    <x:row r="49">
      <x:c r="A49" t="str">
        <x:v>ORD-0048</x:v>
      </x:c>
      <x:c r="B49" t="str">
        <x:v>2025-05-22</x:v>
      </x:c>
      <x:c r="C49" t="str">
        <x:v>West</x:v>
      </x:c>
      <x:c r="D49" t="str">
        <x:v>Office Supplies</x:v>
      </x:c>
      <x:c r="E49" t="str">
        <x:v>Corporate</x:v>
      </x:c>
      <x:c r="F49" t="str">
        <x:v>Online</x:v>
      </x:c>
      <x:c r="G49" t="n">
        <x:v>6</x:v>
      </x:c>
      <x:c r="H49" t="n">
        <x:v>127</x:v>
      </x:c>
      <x:c r="I49" t="n">
        <x:v>0.01</x:v>
      </x:c>
      <x:c r="J49" t="n">
        <x:v>754.38</x:v>
      </x:c>
      <x:c r="K49" t="n">
        <x:v>309.84</x:v>
      </x:c>
      <x:c r="L49" t="str">
        <x:v>CUST-1043</x:v>
      </x:c>
    </x:row>
    <x:row r="50">
      <x:c r="A50" t="str">
        <x:v>ORD-0049</x:v>
      </x:c>
      <x:c r="B50" t="str">
        <x:v>2025-05-25</x:v>
      </x:c>
      <x:c r="C50" t="str">
        <x:v>North</x:v>
      </x:c>
      <x:c r="D50" t="str">
        <x:v>Grocery</x:v>
      </x:c>
      <x:c r="E50" t="str">
        <x:v>Small Business</x:v>
      </x:c>
      <x:c r="F50" t="str">
        <x:v>Retail</x:v>
      </x:c>
      <x:c r="G50" t="n">
        <x:v>4</x:v>
      </x:c>
      <x:c r="H50" t="n">
        <x:v>35</x:v>
      </x:c>
      <x:c r="I50" t="n">
        <x:v>0.04</x:v>
      </x:c>
      <x:c r="J50" t="n">
        <x:v>134.4</x:v>
      </x:c>
      <x:c r="K50" t="n">
        <x:v>25.26</x:v>
      </x:c>
      <x:c r="L50" t="str">
        <x:v>CUST-1062</x:v>
      </x:c>
    </x:row>
    <x:row r="51">
      <x:c r="A51" t="str">
        <x:v>ORD-0050</x:v>
      </x:c>
      <x:c r="B51" t="str">
        <x:v>2025-05-28</x:v>
      </x:c>
      <x:c r="C51" t="str">
        <x:v>South</x:v>
      </x:c>
      <x:c r="D51" t="str">
        <x:v>Furniture</x:v>
      </x:c>
      <x:c r="E51" t="str">
        <x:v>Consumer</x:v>
      </x:c>
      <x:c r="F51" t="str">
        <x:v>Partner</x:v>
      </x:c>
      <x:c r="G51" t="n">
        <x:v>2</x:v>
      </x:c>
      <x:c r="H51" t="n">
        <x:v>316</x:v>
      </x:c>
      <x:c r="I51" t="n">
        <x:v>0.07</x:v>
      </x:c>
      <x:c r="J51" t="n">
        <x:v>587.76</x:v>
      </x:c>
      <x:c r="K51" t="n">
        <x:v>140.7</x:v>
      </x:c>
      <x:c r="L51" t="str">
        <x:v>CUST-1081</x:v>
      </x:c>
    </x:row>
    <x:row r="52">
      <x:c r="A52" t="str">
        <x:v>ORD-0051</x:v>
      </x:c>
      <x:c r="B52" t="str">
        <x:v>2025-05-31</x:v>
      </x:c>
      <x:c r="C52" t="str">
        <x:v>East</x:v>
      </x:c>
      <x:c r="D52" t="str">
        <x:v>Home</x:v>
      </x:c>
      <x:c r="E52" t="str">
        <x:v>Corporate</x:v>
      </x:c>
      <x:c r="F52" t="str">
        <x:v>Online</x:v>
      </x:c>
      <x:c r="G52" t="n">
        <x:v>9</x:v>
      </x:c>
      <x:c r="H52" t="n">
        <x:v>152</x:v>
      </x:c>
      <x:c r="I52" t="n">
        <x:v>0.1</x:v>
      </x:c>
      <x:c r="J52" t="n">
        <x:v>1231.2</x:v>
      </x:c>
      <x:c r="K52" t="n">
        <x:v>473.17</x:v>
      </x:c>
      <x:c r="L52" t="str">
        <x:v>CUST-1015</x:v>
      </x:c>
    </x:row>
    <x:row r="53">
      <x:c r="A53" t="str">
        <x:v>ORD-0052</x:v>
      </x:c>
      <x:c r="B53" t="str">
        <x:v>2025-06-03</x:v>
      </x:c>
      <x:c r="C53" t="str">
        <x:v>West</x:v>
      </x:c>
      <x:c r="D53" t="str">
        <x:v>Electronics</x:v>
      </x:c>
      <x:c r="E53" t="str">
        <x:v>Consumer</x:v>
      </x:c>
      <x:c r="F53" t="str">
        <x:v>Retail</x:v>
      </x:c>
      <x:c r="G53" t="n">
        <x:v>7</x:v>
      </x:c>
      <x:c r="H53" t="n">
        <x:v>438</x:v>
      </x:c>
      <x:c r="I53" t="n">
        <x:v>0.13</x:v>
      </x:c>
      <x:c r="J53" t="n">
        <x:v>2667.42</x:v>
      </x:c>
      <x:c r="K53" t="n">
        <x:v>846.57</x:v>
      </x:c>
      <x:c r="L53" t="str">
        <x:v>CUST-1034</x:v>
      </x:c>
    </x:row>
    <x:row r="54">
      <x:c r="A54" t="str">
        <x:v>ORD-0053</x:v>
      </x:c>
      <x:c r="B54" t="str">
        <x:v>2025-06-06</x:v>
      </x:c>
      <x:c r="C54" t="str">
        <x:v>North</x:v>
      </x:c>
      <x:c r="D54" t="str">
        <x:v>Home</x:v>
      </x:c>
      <x:c r="E54" t="str">
        <x:v>Corporate</x:v>
      </x:c>
      <x:c r="F54" t="str">
        <x:v>Partner</x:v>
      </x:c>
      <x:c r="G54" t="n">
        <x:v>5</x:v>
      </x:c>
      <x:c r="H54" t="n">
        <x:v>164</x:v>
      </x:c>
      <x:c r="I54" t="n">
        <x:v>0.16</x:v>
      </x:c>
      <x:c r="J54" t="n">
        <x:v>688.8</x:v>
      </x:c>
      <x:c r="K54" t="n">
        <x:v>250.63</x:v>
      </x:c>
      <x:c r="L54" t="str">
        <x:v>CUST-1053</x:v>
      </x:c>
    </x:row>
    <x:row r="55">
      <x:c r="A55" t="str">
        <x:v>ORD-0054</x:v>
      </x:c>
      <x:c r="B55" t="str">
        <x:v>2025-06-09</x:v>
      </x:c>
      <x:c r="C55" t="str">
        <x:v>South</x:v>
      </x:c>
      <x:c r="D55" t="str">
        <x:v>Electronics</x:v>
      </x:c>
      <x:c r="E55" t="str">
        <x:v>Small Business</x:v>
      </x:c>
      <x:c r="F55" t="str">
        <x:v>Online</x:v>
      </x:c>
      <x:c r="G55" t="n">
        <x:v>3</x:v>
      </x:c>
      <x:c r="H55" t="n">
        <x:v>450</x:v>
      </x:c>
      <x:c r="I55" t="n">
        <x:v>0.19</x:v>
      </x:c>
      <x:c r="J55" t="n">
        <x:v>1093.5</x:v>
      </x:c>
      <x:c r="K55" t="n">
        <x:v>-214.77</x:v>
      </x:c>
      <x:c r="L55" t="str">
        <x:v>CUST-1072</x:v>
      </x:c>
    </x:row>
    <x:row r="56">
      <x:c r="A56" t="str">
        <x:v>ORD-0055</x:v>
      </x:c>
      <x:c r="B56" t="str">
        <x:v>2025-06-12</x:v>
      </x:c>
      <x:c r="C56" t="str">
        <x:v>East</x:v>
      </x:c>
      <x:c r="D56" t="str">
        <x:v>Office Supplies</x:v>
      </x:c>
      <x:c r="E56" t="str">
        <x:v>Consumer</x:v>
      </x:c>
      <x:c r="F56" t="str">
        <x:v>Retail</x:v>
      </x:c>
      <x:c r="G56" t="n">
        <x:v>1</x:v>
      </x:c>
      <x:c r="H56" t="n">
        <x:v>121</x:v>
      </x:c>
      <x:c r="I56" t="n">
        <x:v>0.22</x:v>
      </x:c>
      <x:c r="J56" t="n">
        <x:v>94.38</x:v>
      </x:c>
      <x:c r="K56" t="n">
        <x:v>24.15</x:v>
      </x:c>
      <x:c r="L56" t="str">
        <x:v>CUST-1006</x:v>
      </x:c>
    </x:row>
    <x:row r="57">
      <x:c r="A57" t="str">
        <x:v>ORD-0056</x:v>
      </x:c>
      <x:c r="B57" t="str">
        <x:v>2025-06-15</x:v>
      </x:c>
      <x:c r="C57" t="str">
        <x:v>West</x:v>
      </x:c>
      <x:c r="D57" t="str">
        <x:v>Grocery</x:v>
      </x:c>
      <x:c r="E57" t="str">
        <x:v>Corporate</x:v>
      </x:c>
      <x:c r="F57" t="str">
        <x:v>Online</x:v>
      </x:c>
      <x:c r="G57" t="n">
        <x:v>8</x:v>
      </x:c>
      <x:c r="H57" t="n">
        <x:v>77</x:v>
      </x:c>
      <x:c r="I57" t="n">
        <x:v>0.25</x:v>
      </x:c>
      <x:c r="J57" t="n">
        <x:v>462</x:v>
      </x:c>
      <x:c r="K57" t="n">
        <x:v>62.3</x:v>
      </x:c>
      <x:c r="L57" t="str">
        <x:v>CUST-1025</x:v>
      </x:c>
    </x:row>
    <x:row r="58">
      <x:c r="A58" t="str">
        <x:v>ORD-0057</x:v>
      </x:c>
      <x:c r="B58" t="str">
        <x:v>2025-06-18</x:v>
      </x:c>
      <x:c r="C58" t="str">
        <x:v>North</x:v>
      </x:c>
      <x:c r="D58" t="str">
        <x:v>Furniture</x:v>
      </x:c>
      <x:c r="E58" t="str">
        <x:v>Small Business</x:v>
      </x:c>
      <x:c r="F58" t="str">
        <x:v>Retail</x:v>
      </x:c>
      <x:c r="G58" t="n">
        <x:v>6</x:v>
      </x:c>
      <x:c r="H58" t="n">
        <x:v>310</x:v>
      </x:c>
      <x:c r="I58" t="n">
        <x:v>0</x:v>
      </x:c>
      <x:c r="J58" t="n">
        <x:v>1860</x:v>
      </x:c>
      <x:c r="K58" t="n">
        <x:v>495.2</x:v>
      </x:c>
      <x:c r="L58" t="str">
        <x:v>CUST-1044</x:v>
      </x:c>
    </x:row>
    <x:row r="59">
      <x:c r="A59" t="str">
        <x:v>ORD-0058</x:v>
      </x:c>
      <x:c r="B59" t="str">
        <x:v>2025-06-21</x:v>
      </x:c>
      <x:c r="C59" t="str">
        <x:v>South</x:v>
      </x:c>
      <x:c r="D59" t="str">
        <x:v>Home</x:v>
      </x:c>
      <x:c r="E59" t="str">
        <x:v>Consumer</x:v>
      </x:c>
      <x:c r="F59" t="str">
        <x:v>Partner</x:v>
      </x:c>
      <x:c r="G59" t="n">
        <x:v>4</x:v>
      </x:c>
      <x:c r="H59" t="n">
        <x:v>146</x:v>
      </x:c>
      <x:c r="I59" t="n">
        <x:v>0.03</x:v>
      </x:c>
      <x:c r="J59" t="n">
        <x:v>566.48</x:v>
      </x:c>
      <x:c r="K59" t="n">
        <x:v>202.93</x:v>
      </x:c>
      <x:c r="L59" t="str">
        <x:v>CUST-1063</x:v>
      </x:c>
    </x:row>
    <x:row r="60">
      <x:c r="A60" t="str">
        <x:v>ORD-0059</x:v>
      </x:c>
      <x:c r="B60" t="str">
        <x:v>2025-06-24</x:v>
      </x:c>
      <x:c r="C60" t="str">
        <x:v>East</x:v>
      </x:c>
      <x:c r="D60" t="str">
        <x:v>Electronics</x:v>
      </x:c>
      <x:c r="E60" t="str">
        <x:v>Corporate</x:v>
      </x:c>
      <x:c r="F60" t="str">
        <x:v>Online</x:v>
      </x:c>
      <x:c r="G60" t="n">
        <x:v>2</x:v>
      </x:c>
      <x:c r="H60" t="n">
        <x:v>432</x:v>
      </x:c>
      <x:c r="I60" t="n">
        <x:v>0.06</x:v>
      </x:c>
      <x:c r="J60" t="n">
        <x:v>812.16</x:v>
      </x:c>
      <x:c r="K60" t="n">
        <x:v>252.89</x:v>
      </x:c>
      <x:c r="L60" t="str">
        <x:v>CUST-1082</x:v>
      </x:c>
    </x:row>
    <x:row r="61">
      <x:c r="A61" t="str">
        <x:v>ORD-0060</x:v>
      </x:c>
      <x:c r="B61" t="str">
        <x:v>2025-06-27</x:v>
      </x:c>
      <x:c r="C61" t="str">
        <x:v>West</x:v>
      </x:c>
      <x:c r="D61" t="str">
        <x:v>Office Supplies</x:v>
      </x:c>
      <x:c r="E61" t="str">
        <x:v>Small Business</x:v>
      </x:c>
      <x:c r="F61" t="str">
        <x:v>Retail</x:v>
      </x:c>
      <x:c r="G61" t="n">
        <x:v>9</x:v>
      </x:c>
      <x:c r="H61" t="n">
        <x:v>103</x:v>
      </x:c>
      <x:c r="I61" t="n">
        <x:v>0.09</x:v>
      </x:c>
      <x:c r="J61" t="n">
        <x:v>843.57</x:v>
      </x:c>
      <x:c r="K61" t="n">
        <x:v>347.3</x:v>
      </x:c>
      <x:c r="L61" t="str">
        <x:v>CUST-1016</x:v>
      </x:c>
    </x:row>
    <x:row r="62">
      <x:c r="A62" t="str">
        <x:v>ORD-0061</x:v>
      </x:c>
      <x:c r="B62" t="str">
        <x:v>2025-06-30</x:v>
      </x:c>
      <x:c r="C62" t="str">
        <x:v>North</x:v>
      </x:c>
      <x:c r="D62" t="str">
        <x:v>Grocery</x:v>
      </x:c>
      <x:c r="E62" t="str">
        <x:v>Consumer</x:v>
      </x:c>
      <x:c r="F62" t="str">
        <x:v>Partner</x:v>
      </x:c>
      <x:c r="G62" t="n">
        <x:v>7</x:v>
      </x:c>
      <x:c r="H62" t="n">
        <x:v>59</x:v>
      </x:c>
      <x:c r="I62" t="n">
        <x:v>0.12</x:v>
      </x:c>
      <x:c r="J62" t="n">
        <x:v>363.44</x:v>
      </x:c>
      <x:c r="K62" t="n">
        <x:v>69.23</x:v>
      </x:c>
      <x:c r="L62" t="str">
        <x:v>CUST-1035</x:v>
      </x:c>
    </x:row>
    <x:row r="63">
      <x:c r="A63" t="str">
        <x:v>ORD-0062</x:v>
      </x:c>
      <x:c r="B63" t="str">
        <x:v>2025-07-03</x:v>
      </x:c>
      <x:c r="C63" t="str">
        <x:v>South</x:v>
      </x:c>
      <x:c r="D63" t="str">
        <x:v>Furniture</x:v>
      </x:c>
      <x:c r="E63" t="str">
        <x:v>Corporate</x:v>
      </x:c>
      <x:c r="F63" t="str">
        <x:v>Online</x:v>
      </x:c>
      <x:c r="G63" t="n">
        <x:v>5</x:v>
      </x:c>
      <x:c r="H63" t="n">
        <x:v>340</x:v>
      </x:c>
      <x:c r="I63" t="n">
        <x:v>0.15</x:v>
      </x:c>
      <x:c r="J63" t="n">
        <x:v>1445</x:v>
      </x:c>
      <x:c r="K63" t="n">
        <x:v>383.15</x:v>
      </x:c>
      <x:c r="L63" t="str">
        <x:v>CUST-1054</x:v>
      </x:c>
    </x:row>
    <x:row r="64">
      <x:c r="A64" t="str">
        <x:v>ORD-0063</x:v>
      </x:c>
      <x:c r="B64" t="str">
        <x:v>2025-07-06</x:v>
      </x:c>
      <x:c r="C64" t="str">
        <x:v>East</x:v>
      </x:c>
      <x:c r="D64" t="str">
        <x:v>Home</x:v>
      </x:c>
      <x:c r="E64" t="str">
        <x:v>Small Business</x:v>
      </x:c>
      <x:c r="F64" t="str">
        <x:v>Retail</x:v>
      </x:c>
      <x:c r="G64" t="n">
        <x:v>3</x:v>
      </x:c>
      <x:c r="H64" t="n">
        <x:v>176</x:v>
      </x:c>
      <x:c r="I64" t="n">
        <x:v>0.18</x:v>
      </x:c>
      <x:c r="J64" t="n">
        <x:v>432.96</x:v>
      </x:c>
      <x:c r="K64" t="n">
        <x:v>161.85</x:v>
      </x:c>
      <x:c r="L64" t="str">
        <x:v>CUST-1073</x:v>
      </x:c>
    </x:row>
    <x:row r="65">
      <x:c r="A65" t="str">
        <x:v>ORD-0064</x:v>
      </x:c>
      <x:c r="B65" t="str">
        <x:v>2025-07-09</x:v>
      </x:c>
      <x:c r="C65" t="str">
        <x:v>West</x:v>
      </x:c>
      <x:c r="D65" t="str">
        <x:v>Electronics</x:v>
      </x:c>
      <x:c r="E65" t="str">
        <x:v>Consumer</x:v>
      </x:c>
      <x:c r="F65" t="str">
        <x:v>Partner</x:v>
      </x:c>
      <x:c r="G65" t="n">
        <x:v>1</x:v>
      </x:c>
      <x:c r="H65" t="n">
        <x:v>462</x:v>
      </x:c>
      <x:c r="I65" t="n">
        <x:v>0.21</x:v>
      </x:c>
      <x:c r="J65" t="n">
        <x:v>364.98</x:v>
      </x:c>
      <x:c r="K65" t="n">
        <x:v>65.95</x:v>
      </x:c>
      <x:c r="L65" t="str">
        <x:v>CUST-1007</x:v>
      </x:c>
    </x:row>
    <x:row r="66">
      <x:c r="A66" t="str">
        <x:v>ORD-0065</x:v>
      </x:c>
      <x:c r="B66" t="str">
        <x:v>2025-07-12</x:v>
      </x:c>
      <x:c r="C66" t="str">
        <x:v>North</x:v>
      </x:c>
      <x:c r="D66" t="str">
        <x:v>Office Supplies</x:v>
      </x:c>
      <x:c r="E66" t="str">
        <x:v>Corporate</x:v>
      </x:c>
      <x:c r="F66" t="str">
        <x:v>Online</x:v>
      </x:c>
      <x:c r="G66" t="n">
        <x:v>8</x:v>
      </x:c>
      <x:c r="H66" t="n">
        <x:v>85</x:v>
      </x:c>
      <x:c r="I66" t="n">
        <x:v>0.24</x:v>
      </x:c>
      <x:c r="J66" t="n">
        <x:v>516.8</x:v>
      </x:c>
      <x:c r="K66" t="n">
        <x:v>163.54</x:v>
      </x:c>
      <x:c r="L66" t="str">
        <x:v>CUST-1026</x:v>
      </x:c>
    </x:row>
    <x:row r="67">
      <x:c r="A67" t="str">
        <x:v>ORD-0066</x:v>
      </x:c>
      <x:c r="B67" t="str">
        <x:v>2025-07-15</x:v>
      </x:c>
      <x:c r="C67" t="str">
        <x:v>South</x:v>
      </x:c>
      <x:c r="D67" t="str">
        <x:v>Electronics</x:v>
      </x:c>
      <x:c r="E67" t="str">
        <x:v>Small Business</x:v>
      </x:c>
      <x:c r="F67" t="str">
        <x:v>Retail</x:v>
      </x:c>
      <x:c r="G67" t="n">
        <x:v>6</x:v>
      </x:c>
      <x:c r="H67" t="n">
        <x:v>426</x:v>
      </x:c>
      <x:c r="I67" t="n">
        <x:v>0.27</x:v>
      </x:c>
      <x:c r="J67" t="n">
        <x:v>1865.88</x:v>
      </x:c>
      <x:c r="K67" t="n">
        <x:v>422.15</x:v>
      </x:c>
      <x:c r="L67" t="str">
        <x:v>CUST-1045</x:v>
      </x:c>
    </x:row>
    <x:row r="68">
      <x:c r="A68" t="str">
        <x:v>ORD-0067</x:v>
      </x:c>
      <x:c r="B68" t="str">
        <x:v>2025-07-18</x:v>
      </x:c>
      <x:c r="C68" t="str">
        <x:v>East</x:v>
      </x:c>
      <x:c r="D68" t="str">
        <x:v>Office Supplies</x:v>
      </x:c>
      <x:c r="E68" t="str">
        <x:v>Consumer</x:v>
      </x:c>
      <x:c r="F68" t="str">
        <x:v>Online</x:v>
      </x:c>
      <x:c r="G68" t="n">
        <x:v>4</x:v>
      </x:c>
      <x:c r="H68" t="n">
        <x:v>97</x:v>
      </x:c>
      <x:c r="I68" t="n">
        <x:v>0.02</x:v>
      </x:c>
      <x:c r="J68" t="n">
        <x:v>380.24</x:v>
      </x:c>
      <x:c r="K68" t="n">
        <x:v>152.7</x:v>
      </x:c>
      <x:c r="L68" t="str">
        <x:v>CUST-1064</x:v>
      </x:c>
    </x:row>
    <x:row r="69">
      <x:c r="A69" t="str">
        <x:v>ORD-0068</x:v>
      </x:c>
      <x:c r="B69" t="str">
        <x:v>2025-07-21</x:v>
      </x:c>
      <x:c r="C69" t="str">
        <x:v>West</x:v>
      </x:c>
      <x:c r="D69" t="str">
        <x:v>Grocery</x:v>
      </x:c>
      <x:c r="E69" t="str">
        <x:v>Corporate</x:v>
      </x:c>
      <x:c r="F69" t="str">
        <x:v>Retail</x:v>
      </x:c>
      <x:c r="G69" t="n">
        <x:v>2</x:v>
      </x:c>
      <x:c r="H69" t="n">
        <x:v>53</x:v>
      </x:c>
      <x:c r="I69" t="n">
        <x:v>0.05</x:v>
      </x:c>
      <x:c r="J69" t="n">
        <x:v>100.7</x:v>
      </x:c>
      <x:c r="K69" t="n">
        <x:v>17.17</x:v>
      </x:c>
      <x:c r="L69" t="str">
        <x:v>CUST-1083</x:v>
      </x:c>
    </x:row>
    <x:row r="70">
      <x:c r="A70" t="str">
        <x:v>ORD-0069</x:v>
      </x:c>
      <x:c r="B70" t="str">
        <x:v>2025-07-24</x:v>
      </x:c>
      <x:c r="C70" t="str">
        <x:v>North</x:v>
      </x:c>
      <x:c r="D70" t="str">
        <x:v>Furniture</x:v>
      </x:c>
      <x:c r="E70" t="str">
        <x:v>Consumer</x:v>
      </x:c>
      <x:c r="F70" t="str">
        <x:v>Partner</x:v>
      </x:c>
      <x:c r="G70" t="n">
        <x:v>9</x:v>
      </x:c>
      <x:c r="H70" t="n">
        <x:v>334</x:v>
      </x:c>
      <x:c r="I70" t="n">
        <x:v>0.08</x:v>
      </x:c>
      <x:c r="J70" t="n">
        <x:v>2765.52</x:v>
      </x:c>
      <x:c r="K70" t="n">
        <x:v>728.69</x:v>
      </x:c>
      <x:c r="L70" t="str">
        <x:v>CUST-1017</x:v>
      </x:c>
    </x:row>
    <x:row r="71">
      <x:c r="A71" t="str">
        <x:v>ORD-0070</x:v>
      </x:c>
      <x:c r="B71" t="str">
        <x:v>2025-07-27</x:v>
      </x:c>
      <x:c r="C71" t="str">
        <x:v>South</x:v>
      </x:c>
      <x:c r="D71" t="str">
        <x:v>Home</x:v>
      </x:c>
      <x:c r="E71" t="str">
        <x:v>Corporate</x:v>
      </x:c>
      <x:c r="F71" t="str">
        <x:v>Online</x:v>
      </x:c>
      <x:c r="G71" t="n">
        <x:v>7</x:v>
      </x:c>
      <x:c r="H71" t="n">
        <x:v>170</x:v>
      </x:c>
      <x:c r="I71" t="n">
        <x:v>0.11</x:v>
      </x:c>
      <x:c r="J71" t="n">
        <x:v>1059.1</x:v>
      </x:c>
      <x:c r="K71" t="n">
        <x:v>406.05</x:v>
      </x:c>
      <x:c r="L71" t="str">
        <x:v>CUST-1036</x:v>
      </x:c>
    </x:row>
    <x:row r="72">
      <x:c r="A72" t="str">
        <x:v>ORD-0071</x:v>
      </x:c>
      <x:c r="B72" t="str">
        <x:v>2025-07-30</x:v>
      </x:c>
      <x:c r="C72" t="str">
        <x:v>East</x:v>
      </x:c>
      <x:c r="D72" t="str">
        <x:v>Electronics</x:v>
      </x:c>
      <x:c r="E72" t="str">
        <x:v>Small Business</x:v>
      </x:c>
      <x:c r="F72" t="str">
        <x:v>Retail</x:v>
      </x:c>
      <x:c r="G72" t="n">
        <x:v>5</x:v>
      </x:c>
      <x:c r="H72" t="n">
        <x:v>456</x:v>
      </x:c>
      <x:c r="I72" t="n">
        <x:v>0.14</x:v>
      </x:c>
      <x:c r="J72" t="n">
        <x:v>1960.8</x:v>
      </x:c>
      <x:c r="K72" t="n">
        <x:v>620.46</x:v>
      </x:c>
      <x:c r="L72" t="str">
        <x:v>CUST-1055</x:v>
      </x:c>
    </x:row>
    <x:row r="73">
      <x:c r="A73" t="str">
        <x:v>ORD-0072</x:v>
      </x:c>
      <x:c r="B73" t="str">
        <x:v>2025-08-02</x:v>
      </x:c>
      <x:c r="C73" t="str">
        <x:v>West</x:v>
      </x:c>
      <x:c r="D73" t="str">
        <x:v>Office Supplies</x:v>
      </x:c>
      <x:c r="E73" t="str">
        <x:v>Consumer</x:v>
      </x:c>
      <x:c r="F73" t="str">
        <x:v>Partner</x:v>
      </x:c>
      <x:c r="G73" t="n">
        <x:v>3</x:v>
      </x:c>
      <x:c r="H73" t="n">
        <x:v>127</x:v>
      </x:c>
      <x:c r="I73" t="n">
        <x:v>0.17</x:v>
      </x:c>
      <x:c r="J73" t="n">
        <x:v>316.23</x:v>
      </x:c>
      <x:c r="K73" t="n">
        <x:v>114.82</x:v>
      </x:c>
      <x:c r="L73" t="str">
        <x:v>CUST-1074</x:v>
      </x:c>
    </x:row>
    <x:row r="74">
      <x:c r="A74" t="str">
        <x:v>ORD-0073</x:v>
      </x:c>
      <x:c r="B74" t="str">
        <x:v>2025-08-05</x:v>
      </x:c>
      <x:c r="C74" t="str">
        <x:v>North</x:v>
      </x:c>
      <x:c r="D74" t="str">
        <x:v>Grocery</x:v>
      </x:c>
      <x:c r="E74" t="str">
        <x:v>Corporate</x:v>
      </x:c>
      <x:c r="F74" t="str">
        <x:v>Online</x:v>
      </x:c>
      <x:c r="G74" t="n">
        <x:v>1</x:v>
      </x:c>
      <x:c r="H74" t="n">
        <x:v>35</x:v>
      </x:c>
      <x:c r="I74" t="n">
        <x:v>0.2</x:v>
      </x:c>
      <x:c r="J74" t="n">
        <x:v>28</x:v>
      </x:c>
      <x:c r="K74" t="n">
        <x:v>-2.8</x:v>
      </x:c>
      <x:c r="L74" t="str">
        <x:v>CUST-1008</x:v>
      </x:c>
    </x:row>
    <x:row r="75">
      <x:c r="A75" t="str">
        <x:v>ORD-0074</x:v>
      </x:c>
      <x:c r="B75" t="str">
        <x:v>2025-08-08</x:v>
      </x:c>
      <x:c r="C75" t="str">
        <x:v>South</x:v>
      </x:c>
      <x:c r="D75" t="str">
        <x:v>Furniture</x:v>
      </x:c>
      <x:c r="E75" t="str">
        <x:v>Small Business</x:v>
      </x:c>
      <x:c r="F75" t="str">
        <x:v>Retail</x:v>
      </x:c>
      <x:c r="G75" t="n">
        <x:v>8</x:v>
      </x:c>
      <x:c r="H75" t="n">
        <x:v>316</x:v>
      </x:c>
      <x:c r="I75" t="n">
        <x:v>0.23</x:v>
      </x:c>
      <x:c r="J75" t="n">
        <x:v>1946.56</x:v>
      </x:c>
      <x:c r="K75" t="n">
        <x:v>343.38</x:v>
      </x:c>
      <x:c r="L75" t="str">
        <x:v>CUST-1027</x:v>
      </x:c>
    </x:row>
    <x:row r="76">
      <x:c r="A76" t="str">
        <x:v>ORD-0075</x:v>
      </x:c>
      <x:c r="B76" t="str">
        <x:v>2025-08-11</x:v>
      </x:c>
      <x:c r="C76" t="str">
        <x:v>East</x:v>
      </x:c>
      <x:c r="D76" t="str">
        <x:v>Home</x:v>
      </x:c>
      <x:c r="E76" t="str">
        <x:v>Consumer</x:v>
      </x:c>
      <x:c r="F76" t="str">
        <x:v>Partner</x:v>
      </x:c>
      <x:c r="G76" t="n">
        <x:v>6</x:v>
      </x:c>
      <x:c r="H76" t="n">
        <x:v>152</x:v>
      </x:c>
      <x:c r="I76" t="n">
        <x:v>0.26</x:v>
      </x:c>
      <x:c r="J76" t="n">
        <x:v>674.88</x:v>
      </x:c>
      <x:c r="K76" t="n">
        <x:v>184.46</x:v>
      </x:c>
      <x:c r="L76" t="str">
        <x:v>CUST-1046</x:v>
      </x:c>
    </x:row>
    <x:row r="77">
      <x:c r="A77" t="str">
        <x:v>ORD-0076</x:v>
      </x:c>
      <x:c r="B77" t="str">
        <x:v>2025-08-14</x:v>
      </x:c>
      <x:c r="C77" t="str">
        <x:v>West</x:v>
      </x:c>
      <x:c r="D77" t="str">
        <x:v>Electronics</x:v>
      </x:c>
      <x:c r="E77" t="str">
        <x:v>Corporate</x:v>
      </x:c>
      <x:c r="F77" t="str">
        <x:v>Online</x:v>
      </x:c>
      <x:c r="G77" t="n">
        <x:v>4</x:v>
      </x:c>
      <x:c r="H77" t="n">
        <x:v>438</x:v>
      </x:c>
      <x:c r="I77" t="n">
        <x:v>0.01</x:v>
      </x:c>
      <x:c r="J77" t="n">
        <x:v>1734.48</x:v>
      </x:c>
      <x:c r="K77" t="n">
        <x:v>548.03</x:v>
      </x:c>
      <x:c r="L77" t="str">
        <x:v>CUST-1065</x:v>
      </x:c>
    </x:row>
    <x:row r="78">
      <x:c r="A78" t="str">
        <x:v>ORD-0077</x:v>
      </x:c>
      <x:c r="B78" t="str">
        <x:v>2025-08-17</x:v>
      </x:c>
      <x:c r="C78" t="str">
        <x:v>North</x:v>
      </x:c>
      <x:c r="D78" t="str">
        <x:v>Office Supplies</x:v>
      </x:c>
      <x:c r="E78" t="str">
        <x:v>Small Business</x:v>
      </x:c>
      <x:c r="F78" t="str">
        <x:v>Retail</x:v>
      </x:c>
      <x:c r="G78" t="n">
        <x:v>2</x:v>
      </x:c>
      <x:c r="H78" t="n">
        <x:v>109</x:v>
      </x:c>
      <x:c r="I78" t="n">
        <x:v>0.04</x:v>
      </x:c>
      <x:c r="J78" t="n">
        <x:v>209.28</x:v>
      </x:c>
      <x:c r="K78" t="n">
        <x:v>80.9</x:v>
      </x:c>
      <x:c r="L78" t="str">
        <x:v>CUST-1084</x:v>
      </x:c>
    </x:row>
    <x:row r="79">
      <x:c r="A79" t="str">
        <x:v>ORD-0078</x:v>
      </x:c>
      <x:c r="B79" t="str">
        <x:v>2025-08-20</x:v>
      </x:c>
      <x:c r="C79" t="str">
        <x:v>South</x:v>
      </x:c>
      <x:c r="D79" t="str">
        <x:v>Grocery</x:v>
      </x:c>
      <x:c r="E79" t="str">
        <x:v>Consumer</x:v>
      </x:c>
      <x:c r="F79" t="str">
        <x:v>Online</x:v>
      </x:c>
      <x:c r="G79" t="n">
        <x:v>9</x:v>
      </x:c>
      <x:c r="H79" t="n">
        <x:v>65</x:v>
      </x:c>
      <x:c r="I79" t="n">
        <x:v>0.07</x:v>
      </x:c>
      <x:c r="J79" t="n">
        <x:v>544.05</x:v>
      </x:c>
      <x:c r="K79" t="n">
        <x:v>123.57</x:v>
      </x:c>
      <x:c r="L79" t="str">
        <x:v>CUST-1018</x:v>
      </x:c>
    </x:row>
    <x:row r="80">
      <x:c r="A80" t="str">
        <x:v>ORD-0079</x:v>
      </x:c>
      <x:c r="B80" t="str">
        <x:v>2025-08-23</x:v>
      </x:c>
      <x:c r="C80" t="str">
        <x:v>East</x:v>
      </x:c>
      <x:c r="D80" t="str">
        <x:v>Office Supplies</x:v>
      </x:c>
      <x:c r="E80" t="str">
        <x:v>Corporate</x:v>
      </x:c>
      <x:c r="F80" t="str">
        <x:v>Retail</x:v>
      </x:c>
      <x:c r="G80" t="n">
        <x:v>7</x:v>
      </x:c>
      <x:c r="H80" t="n">
        <x:v>121</x:v>
      </x:c>
      <x:c r="I80" t="n">
        <x:v>0.1</x:v>
      </x:c>
      <x:c r="J80" t="n">
        <x:v>762.3</x:v>
      </x:c>
      <x:c r="K80" t="n">
        <x:v>313.17</x:v>
      </x:c>
      <x:c r="L80" t="str">
        <x:v>CUST-1037</x:v>
      </x:c>
    </x:row>
    <x:row r="81">
      <x:c r="A81" t="str">
        <x:v>ORD-0080</x:v>
      </x:c>
      <x:c r="B81" t="str">
        <x:v>2025-08-26</x:v>
      </x:c>
      <x:c r="C81" t="str">
        <x:v>West</x:v>
      </x:c>
      <x:c r="D81" t="str">
        <x:v>Grocery</x:v>
      </x:c>
      <x:c r="E81" t="str">
        <x:v>Small Business</x:v>
      </x:c>
      <x:c r="F81" t="str">
        <x:v>Partner</x:v>
      </x:c>
      <x:c r="G81" t="n">
        <x:v>5</x:v>
      </x:c>
      <x:c r="H81" t="n">
        <x:v>77</x:v>
      </x:c>
      <x:c r="I81" t="n">
        <x:v>0.13</x:v>
      </x:c>
      <x:c r="J81" t="n">
        <x:v>334.95</x:v>
      </x:c>
      <x:c r="K81" t="n">
        <x:v>62.39</x:v>
      </x:c>
      <x:c r="L81" t="str">
        <x:v>CUST-1056</x:v>
      </x:c>
    </x:row>
    <x:row r="82">
      <x:c r="A82" t="str">
        <x:v>ORD-0081</x:v>
      </x:c>
      <x:c r="B82" t="str">
        <x:v>2025-08-29</x:v>
      </x:c>
      <x:c r="C82" t="str">
        <x:v>North</x:v>
      </x:c>
      <x:c r="D82" t="str">
        <x:v>Furniture</x:v>
      </x:c>
      <x:c r="E82" t="str">
        <x:v>Consumer</x:v>
      </x:c>
      <x:c r="F82" t="str">
        <x:v>Online</x:v>
      </x:c>
      <x:c r="G82" t="n">
        <x:v>3</x:v>
      </x:c>
      <x:c r="H82" t="n">
        <x:v>310</x:v>
      </x:c>
      <x:c r="I82" t="n">
        <x:v>0.16</x:v>
      </x:c>
      <x:c r="J82" t="n">
        <x:v>781.2</x:v>
      </x:c>
      <x:c r="K82" t="n">
        <x:v>203.92</x:v>
      </x:c>
      <x:c r="L82" t="str">
        <x:v>CUST-1075</x:v>
      </x:c>
    </x:row>
    <x:row r="83">
      <x:c r="A83" t="str">
        <x:v>ORD-0082</x:v>
      </x:c>
      <x:c r="B83" t="str">
        <x:v>2025-09-01</x:v>
      </x:c>
      <x:c r="C83" t="str">
        <x:v>South</x:v>
      </x:c>
      <x:c r="D83" t="str">
        <x:v>Home</x:v>
      </x:c>
      <x:c r="E83" t="str">
        <x:v>Corporate</x:v>
      </x:c>
      <x:c r="F83" t="str">
        <x:v>Retail</x:v>
      </x:c>
      <x:c r="G83" t="n">
        <x:v>1</x:v>
      </x:c>
      <x:c r="H83" t="n">
        <x:v>146</x:v>
      </x:c>
      <x:c r="I83" t="n">
        <x:v>0.19</x:v>
      </x:c>
      <x:c r="J83" t="n">
        <x:v>118.26</x:v>
      </x:c>
      <x:c r="K83" t="n">
        <x:v>28.48</x:v>
      </x:c>
      <x:c r="L83" t="str">
        <x:v>CUST-1009</x:v>
      </x:c>
    </x:row>
    <x:row r="84">
      <x:c r="A84" t="str">
        <x:v>ORD-0083</x:v>
      </x:c>
      <x:c r="B84" t="str">
        <x:v>2025-09-04</x:v>
      </x:c>
      <x:c r="C84" t="str">
        <x:v>East</x:v>
      </x:c>
      <x:c r="D84" t="str">
        <x:v>Electronics</x:v>
      </x:c>
      <x:c r="E84" t="str">
        <x:v>Small Business</x:v>
      </x:c>
      <x:c r="F84" t="str">
        <x:v>Partner</x:v>
      </x:c>
      <x:c r="G84" t="n">
        <x:v>8</x:v>
      </x:c>
      <x:c r="H84" t="n">
        <x:v>432</x:v>
      </x:c>
      <x:c r="I84" t="n">
        <x:v>0.22</x:v>
      </x:c>
      <x:c r="J84" t="n">
        <x:v>2695.68</x:v>
      </x:c>
      <x:c r="K84" t="n">
        <x:v>602.01</x:v>
      </x:c>
      <x:c r="L84" t="str">
        <x:v>CUST-1028</x:v>
      </x:c>
    </x:row>
    <x:row r="85">
      <x:c r="A85" t="str">
        <x:v>ORD-0084</x:v>
      </x:c>
      <x:c r="B85" t="str">
        <x:v>2025-09-07</x:v>
      </x:c>
      <x:c r="C85" t="str">
        <x:v>West</x:v>
      </x:c>
      <x:c r="D85" t="str">
        <x:v>Office Supplies</x:v>
      </x:c>
      <x:c r="E85" t="str">
        <x:v>Consumer</x:v>
      </x:c>
      <x:c r="F85" t="str">
        <x:v>Online</x:v>
      </x:c>
      <x:c r="G85" t="n">
        <x:v>6</x:v>
      </x:c>
      <x:c r="H85" t="n">
        <x:v>103</x:v>
      </x:c>
      <x:c r="I85" t="n">
        <x:v>0.25</x:v>
      </x:c>
      <x:c r="J85" t="n">
        <x:v>463.5</x:v>
      </x:c>
      <x:c r="K85" t="n">
        <x:v>145.96</x:v>
      </x:c>
      <x:c r="L85" t="str">
        <x:v>CUST-1047</x:v>
      </x:c>
    </x:row>
    <x:row r="86">
      <x:c r="A86" t="str">
        <x:v>ORD-0085</x:v>
      </x:c>
      <x:c r="B86" t="str">
        <x:v>2025-09-10</x:v>
      </x:c>
      <x:c r="C86" t="str">
        <x:v>North</x:v>
      </x:c>
      <x:c r="D86" t="str">
        <x:v>Grocery</x:v>
      </x:c>
      <x:c r="E86" t="str">
        <x:v>Corporate</x:v>
      </x:c>
      <x:c r="F86" t="str">
        <x:v>Retail</x:v>
      </x:c>
      <x:c r="G86" t="n">
        <x:v>4</x:v>
      </x:c>
      <x:c r="H86" t="n">
        <x:v>59</x:v>
      </x:c>
      <x:c r="I86" t="n">
        <x:v>0</x:v>
      </x:c>
      <x:c r="J86" t="n">
        <x:v>236</x:v>
      </x:c>
      <x:c r="K86" t="n">
        <x:v>49.64</x:v>
      </x:c>
      <x:c r="L86" t="str">
        <x:v>CUST-1066</x:v>
      </x:c>
    </x:row>
    <x:row r="87">
      <x:c r="A87" t="str">
        <x:v>ORD-0086</x:v>
      </x:c>
      <x:c r="B87" t="str">
        <x:v>2025-09-13</x:v>
      </x:c>
      <x:c r="C87" t="str">
        <x:v>South</x:v>
      </x:c>
      <x:c r="D87" t="str">
        <x:v>Furniture</x:v>
      </x:c>
      <x:c r="E87" t="str">
        <x:v>Consumer</x:v>
      </x:c>
      <x:c r="F87" t="str">
        <x:v>Partner</x:v>
      </x:c>
      <x:c r="G87" t="n">
        <x:v>2</x:v>
      </x:c>
      <x:c r="H87" t="n">
        <x:v>340</x:v>
      </x:c>
      <x:c r="I87" t="n">
        <x:v>0.03</x:v>
      </x:c>
      <x:c r="J87" t="n">
        <x:v>659.6</x:v>
      </x:c>
      <x:c r="K87" t="n">
        <x:v>160.09</x:v>
      </x:c>
      <x:c r="L87" t="str">
        <x:v>CUST-1000</x:v>
      </x:c>
    </x:row>
    <x:row r="88">
      <x:c r="A88" t="str">
        <x:v>ORD-0087</x:v>
      </x:c>
      <x:c r="B88" t="str">
        <x:v>2025-09-16</x:v>
      </x:c>
      <x:c r="C88" t="str">
        <x:v>East</x:v>
      </x:c>
      <x:c r="D88" t="str">
        <x:v>Home</x:v>
      </x:c>
      <x:c r="E88" t="str">
        <x:v>Corporate</x:v>
      </x:c>
      <x:c r="F88" t="str">
        <x:v>Online</x:v>
      </x:c>
      <x:c r="G88" t="n">
        <x:v>9</x:v>
      </x:c>
      <x:c r="H88" t="n">
        <x:v>176</x:v>
      </x:c>
      <x:c r="I88" t="n">
        <x:v>0.06</x:v>
      </x:c>
      <x:c r="J88" t="n">
        <x:v>1488.96</x:v>
      </x:c>
      <x:c r="K88" t="n">
        <x:v>573.69</x:v>
      </x:c>
      <x:c r="L88" t="str">
        <x:v>CUST-1019</x:v>
      </x:c>
    </x:row>
    <x:row r="89">
      <x:c r="A89" t="str">
        <x:v>ORD-0088</x:v>
      </x:c>
      <x:c r="B89" t="str">
        <x:v>2025-09-19</x:v>
      </x:c>
      <x:c r="C89" t="str">
        <x:v>West</x:v>
      </x:c>
      <x:c r="D89" t="str">
        <x:v>Electronics</x:v>
      </x:c>
      <x:c r="E89" t="str">
        <x:v>Small Business</x:v>
      </x:c>
      <x:c r="F89" t="str">
        <x:v>Retail</x:v>
      </x:c>
      <x:c r="G89" t="n">
        <x:v>7</x:v>
      </x:c>
      <x:c r="H89" t="n">
        <x:v>462</x:v>
      </x:c>
      <x:c r="I89" t="n">
        <x:v>0.09</x:v>
      </x:c>
      <x:c r="J89" t="n">
        <x:v>2942.94</x:v>
      </x:c>
      <x:c r="K89" t="n">
        <x:v>934.74</x:v>
      </x:c>
      <x:c r="L89" t="str">
        <x:v>CUST-1038</x:v>
      </x:c>
    </x:row>
    <x:row r="90">
      <x:c r="A90" t="str">
        <x:v>ORD-0089</x:v>
      </x:c>
      <x:c r="B90" t="str">
        <x:v>2025-09-22</x:v>
      </x:c>
      <x:c r="C90" t="str">
        <x:v>North</x:v>
      </x:c>
      <x:c r="D90" t="str">
        <x:v>Office Supplies</x:v>
      </x:c>
      <x:c r="E90" t="str">
        <x:v>Consumer</x:v>
      </x:c>
      <x:c r="F90" t="str">
        <x:v>Online</x:v>
      </x:c>
      <x:c r="G90" t="n">
        <x:v>5</x:v>
      </x:c>
      <x:c r="H90" t="n">
        <x:v>85</x:v>
      </x:c>
      <x:c r="I90" t="n">
        <x:v>0.12</x:v>
      </x:c>
      <x:c r="J90" t="n">
        <x:v>374</x:v>
      </x:c>
      <x:c r="K90" t="n">
        <x:v>150.08</x:v>
      </x:c>
      <x:c r="L90" t="str">
        <x:v>CUST-1057</x:v>
      </x:c>
    </x:row>
    <x:row r="91">
      <x:c r="A91" t="str">
        <x:v>ORD-0090</x:v>
      </x:c>
      <x:c r="B91" t="str">
        <x:v>2025-09-25</x:v>
      </x:c>
      <x:c r="C91" t="str">
        <x:v>South</x:v>
      </x:c>
      <x:c r="D91" t="str">
        <x:v>Grocery</x:v>
      </x:c>
      <x:c r="E91" t="str">
        <x:v>Corporate</x:v>
      </x:c>
      <x:c r="F91" t="str">
        <x:v>Retail</x:v>
      </x:c>
      <x:c r="G91" t="n">
        <x:v>3</x:v>
      </x:c>
      <x:c r="H91" t="n">
        <x:v>41</x:v>
      </x:c>
      <x:c r="I91" t="n">
        <x:v>0.15</x:v>
      </x:c>
      <x:c r="J91" t="n">
        <x:v>104.55</x:v>
      </x:c>
      <x:c r="K91" t="n">
        <x:v>18.09</x:v>
      </x:c>
      <x:c r="L91" t="str">
        <x:v>CUST-1076</x:v>
      </x:c>
    </x:row>
    <x:row r="92">
      <x:c r="A92" t="str">
        <x:v>ORD-0091</x:v>
      </x:c>
      <x:c r="B92" t="str">
        <x:v>2025-09-28</x:v>
      </x:c>
      <x:c r="C92" t="str">
        <x:v>East</x:v>
      </x:c>
      <x:c r="D92" t="str">
        <x:v>Furniture</x:v>
      </x:c>
      <x:c r="E92" t="str">
        <x:v>Small Business</x:v>
      </x:c>
      <x:c r="F92" t="str">
        <x:v>Partner</x:v>
      </x:c>
      <x:c r="G92" t="n">
        <x:v>1</x:v>
      </x:c>
      <x:c r="H92" t="n">
        <x:v>322</x:v>
      </x:c>
      <x:c r="I92" t="n">
        <x:v>0.18</x:v>
      </x:c>
      <x:c r="J92" t="n">
        <x:v>264.04</x:v>
      </x:c>
      <x:c r="K92" t="n">
        <x:v>53.29</x:v>
      </x:c>
      <x:c r="L92" t="str">
        <x:v>CUST-1010</x:v>
      </x:c>
    </x:row>
    <x:row r="93">
      <x:c r="A93" t="str">
        <x:v>ORD-0092</x:v>
      </x:c>
      <x:c r="B93" t="str">
        <x:v>2025-10-01</x:v>
      </x:c>
      <x:c r="C93" t="str">
        <x:v>West</x:v>
      </x:c>
      <x:c r="D93" t="str">
        <x:v>Grocery</x:v>
      </x:c>
      <x:c r="E93" t="str">
        <x:v>Consumer</x:v>
      </x:c>
      <x:c r="F93" t="str">
        <x:v>Online</x:v>
      </x:c>
      <x:c r="G93" t="n">
        <x:v>8</x:v>
      </x:c>
      <x:c r="H93" t="n">
        <x:v>53</x:v>
      </x:c>
      <x:c r="I93" t="n">
        <x:v>0.21</x:v>
      </x:c>
      <x:c r="J93" t="n">
        <x:v>334.96</x:v>
      </x:c>
      <x:c r="K93" t="n">
        <x:v>43.24</x:v>
      </x:c>
      <x:c r="L93" t="str">
        <x:v>CUST-1029</x:v>
      </x:c>
    </x:row>
    <x:row r="94">
      <x:c r="A94" t="str">
        <x:v>ORD-0093</x:v>
      </x:c>
      <x:c r="B94" t="str">
        <x:v>2025-10-04</x:v>
      </x:c>
      <x:c r="C94" t="str">
        <x:v>North</x:v>
      </x:c>
      <x:c r="D94" t="str">
        <x:v>Furniture</x:v>
      </x:c>
      <x:c r="E94" t="str">
        <x:v>Corporate</x:v>
      </x:c>
      <x:c r="F94" t="str">
        <x:v>Retail</x:v>
      </x:c>
      <x:c r="G94" t="n">
        <x:v>6</x:v>
      </x:c>
      <x:c r="H94" t="n">
        <x:v>334</x:v>
      </x:c>
      <x:c r="I94" t="n">
        <x:v>0.24</x:v>
      </x:c>
      <x:c r="J94" t="n">
        <x:v>1523.04</x:v>
      </x:c>
      <x:c r="K94" t="n">
        <x:v>267.15</x:v>
      </x:c>
      <x:c r="L94" t="str">
        <x:v>CUST-1048</x:v>
      </x:c>
    </x:row>
    <x:row r="95">
      <x:c r="A95" t="str">
        <x:v>ORD-0094</x:v>
      </x:c>
      <x:c r="B95" t="str">
        <x:v>2025-10-07</x:v>
      </x:c>
      <x:c r="C95" t="str">
        <x:v>South</x:v>
      </x:c>
      <x:c r="D95" t="str">
        <x:v>Home</x:v>
      </x:c>
      <x:c r="E95" t="str">
        <x:v>Small Business</x:v>
      </x:c>
      <x:c r="F95" t="str">
        <x:v>Partner</x:v>
      </x:c>
      <x:c r="G95" t="n">
        <x:v>4</x:v>
      </x:c>
      <x:c r="H95" t="n">
        <x:v>170</x:v>
      </x:c>
      <x:c r="I95" t="n">
        <x:v>0.27</x:v>
      </x:c>
      <x:c r="J95" t="n">
        <x:v>496.4</x:v>
      </x:c>
      <x:c r="K95" t="n">
        <x:v>130.92</x:v>
      </x:c>
      <x:c r="L95" t="str">
        <x:v>CUST-1067</x:v>
      </x:c>
    </x:row>
    <x:row r="96">
      <x:c r="A96" t="str">
        <x:v>ORD-0095</x:v>
      </x:c>
      <x:c r="B96" t="str">
        <x:v>2025-10-10</x:v>
      </x:c>
      <x:c r="C96" t="str">
        <x:v>East</x:v>
      </x:c>
      <x:c r="D96" t="str">
        <x:v>Electronics</x:v>
      </x:c>
      <x:c r="E96" t="str">
        <x:v>Consumer</x:v>
      </x:c>
      <x:c r="F96" t="str">
        <x:v>Online</x:v>
      </x:c>
      <x:c r="G96" t="n">
        <x:v>2</x:v>
      </x:c>
      <x:c r="H96" t="n">
        <x:v>456</x:v>
      </x:c>
      <x:c r="I96" t="n">
        <x:v>0.02</x:v>
      </x:c>
      <x:c r="J96" t="n">
        <x:v>893.76</x:v>
      </x:c>
      <x:c r="K96" t="n">
        <x:v>279</x:v>
      </x:c>
      <x:c r="L96" t="str">
        <x:v>CUST-1001</x:v>
      </x:c>
    </x:row>
    <x:row r="97">
      <x:c r="A97" t="str">
        <x:v>ORD-0096</x:v>
      </x:c>
      <x:c r="B97" t="str">
        <x:v>2025-10-13</x:v>
      </x:c>
      <x:c r="C97" t="str">
        <x:v>West</x:v>
      </x:c>
      <x:c r="D97" t="str">
        <x:v>Office Supplies</x:v>
      </x:c>
      <x:c r="E97" t="str">
        <x:v>Corporate</x:v>
      </x:c>
      <x:c r="F97" t="str">
        <x:v>Retail</x:v>
      </x:c>
      <x:c r="G97" t="n">
        <x:v>9</x:v>
      </x:c>
      <x:c r="H97" t="n">
        <x:v>127</x:v>
      </x:c>
      <x:c r="I97" t="n">
        <x:v>0.05</x:v>
      </x:c>
      <x:c r="J97" t="n">
        <x:v>1085.85</x:v>
      </x:c>
      <x:c r="K97" t="n">
        <x:v>449.06</x:v>
      </x:c>
      <x:c r="L97" t="str">
        <x:v>CUST-1020</x:v>
      </x:c>
    </x:row>
    <x:row r="98">
      <x:c r="A98" t="str">
        <x:v>ORD-0097</x:v>
      </x:c>
      <x:c r="B98" t="str">
        <x:v>2025-10-16</x:v>
      </x:c>
      <x:c r="C98" t="str">
        <x:v>North</x:v>
      </x:c>
      <x:c r="D98" t="str">
        <x:v>Grocery</x:v>
      </x:c>
      <x:c r="E98" t="str">
        <x:v>Small Business</x:v>
      </x:c>
      <x:c r="F98" t="str">
        <x:v>Partner</x:v>
      </x:c>
      <x:c r="G98" t="n">
        <x:v>7</x:v>
      </x:c>
      <x:c r="H98" t="n">
        <x:v>35</x:v>
      </x:c>
      <x:c r="I98" t="n">
        <x:v>0.08</x:v>
      </x:c>
      <x:c r="J98" t="n">
        <x:v>225.4</x:v>
      </x:c>
      <x:c r="K98" t="n">
        <x:v>36.1</x:v>
      </x:c>
      <x:c r="L98" t="str">
        <x:v>CUST-1039</x:v>
      </x:c>
    </x:row>
    <x:row r="99">
      <x:c r="A99" t="str">
        <x:v>ORD-0098</x:v>
      </x:c>
      <x:c r="B99" t="str">
        <x:v>2025-10-19</x:v>
      </x:c>
      <x:c r="C99" t="str">
        <x:v>South</x:v>
      </x:c>
      <x:c r="D99" t="str">
        <x:v>Furniture</x:v>
      </x:c>
      <x:c r="E99" t="str">
        <x:v>Consumer</x:v>
      </x:c>
      <x:c r="F99" t="str">
        <x:v>Online</x:v>
      </x:c>
      <x:c r="G99" t="n">
        <x:v>5</x:v>
      </x:c>
      <x:c r="H99" t="n">
        <x:v>316</x:v>
      </x:c>
      <x:c r="I99" t="n">
        <x:v>0.11</x:v>
      </x:c>
      <x:c r="J99" t="n">
        <x:v>1406.2</x:v>
      </x:c>
      <x:c r="K99" t="n">
        <x:v>372.67</x:v>
      </x:c>
      <x:c r="L99" t="str">
        <x:v>CUST-1058</x:v>
      </x:c>
    </x:row>
    <x:row r="100">
      <x:c r="A100" t="str">
        <x:v>ORD-0099</x:v>
      </x:c>
      <x:c r="B100" t="str">
        <x:v>2025-10-22</x:v>
      </x:c>
      <x:c r="C100" t="str">
        <x:v>East</x:v>
      </x:c>
      <x:c r="D100" t="str">
        <x:v>Home</x:v>
      </x:c>
      <x:c r="E100" t="str">
        <x:v>Corporate</x:v>
      </x:c>
      <x:c r="F100" t="str">
        <x:v>Retail</x:v>
      </x:c>
      <x:c r="G100" t="n">
        <x:v>3</x:v>
      </x:c>
      <x:c r="H100" t="n">
        <x:v>152</x:v>
      </x:c>
      <x:c r="I100" t="n">
        <x:v>0.14</x:v>
      </x:c>
      <x:c r="J100" t="n">
        <x:v>392.16</x:v>
      </x:c>
      <x:c r="K100" t="n">
        <x:v>145.94</x:v>
      </x:c>
      <x:c r="L100" t="str">
        <x:v>CUST-1077</x:v>
      </x:c>
    </x:row>
    <x:row r="101">
      <x:c r="A101" t="str">
        <x:v>ORD-0100</x:v>
      </x:c>
      <x:c r="B101" t="str">
        <x:v>2025-10-25</x:v>
      </x:c>
      <x:c r="C101" t="str">
        <x:v>West</x:v>
      </x:c>
      <x:c r="D101" t="str">
        <x:v>Electronics</x:v>
      </x:c>
      <x:c r="E101" t="str">
        <x:v>Small Business</x:v>
      </x:c>
      <x:c r="F101" t="str">
        <x:v>Online</x:v>
      </x:c>
      <x:c r="G101" t="n">
        <x:v>1</x:v>
      </x:c>
      <x:c r="H101" t="n">
        <x:v>438</x:v>
      </x:c>
      <x:c r="I101" t="n">
        <x:v>0.17</x:v>
      </x:c>
      <x:c r="J101" t="n">
        <x:v>363.54</x:v>
      </x:c>
      <x:c r="K101" t="n">
        <x:v>109.33</x:v>
      </x:c>
      <x:c r="L101" t="str">
        <x:v>CUST-1011</x:v>
      </x:c>
    </x:row>
    <x:row r="102">
      <x:c r="A102" t="str">
        <x:v>ORD-0101</x:v>
      </x:c>
      <x:c r="B102" t="str">
        <x:v>2025-10-28</x:v>
      </x:c>
      <x:c r="C102" t="str">
        <x:v>North</x:v>
      </x:c>
      <x:c r="D102" t="str">
        <x:v>Office Supplies</x:v>
      </x:c>
      <x:c r="E102" t="str">
        <x:v>Consumer</x:v>
      </x:c>
      <x:c r="F102" t="str">
        <x:v>Retail</x:v>
      </x:c>
      <x:c r="G102" t="n">
        <x:v>8</x:v>
      </x:c>
      <x:c r="H102" t="n">
        <x:v>109</x:v>
      </x:c>
      <x:c r="I102" t="n">
        <x:v>0.2</x:v>
      </x:c>
      <x:c r="J102" t="n">
        <x:v>697.6</x:v>
      </x:c>
      <x:c r="K102" t="n">
        <x:v>223.21</x:v>
      </x:c>
      <x:c r="L102" t="str">
        <x:v>CUST-1030</x:v>
      </x:c>
    </x:row>
    <x:row r="103">
      <x:c r="A103" t="str">
        <x:v>ORD-0102</x:v>
      </x:c>
      <x:c r="B103" t="str">
        <x:v>2025-10-31</x:v>
      </x:c>
      <x:c r="C103" t="str">
        <x:v>South</x:v>
      </x:c>
      <x:c r="D103" t="str">
        <x:v>Grocery</x:v>
      </x:c>
      <x:c r="E103" t="str">
        <x:v>Corporate</x:v>
      </x:c>
      <x:c r="F103" t="str">
        <x:v>Partner</x:v>
      </x:c>
      <x:c r="G103" t="n">
        <x:v>6</x:v>
      </x:c>
      <x:c r="H103" t="n">
        <x:v>65</x:v>
      </x:c>
      <x:c r="I103" t="n">
        <x:v>0.23</x:v>
      </x:c>
      <x:c r="J103" t="n">
        <x:v>300.3</x:v>
      </x:c>
      <x:c r="K103" t="n">
        <x:v>27.05</x:v>
      </x:c>
      <x:c r="L103" t="str">
        <x:v>CUST-1049</x:v>
      </x:c>
    </x:row>
    <x:row r="104">
      <x:c r="A104" t="str">
        <x:v>ORD-0103</x:v>
      </x:c>
      <x:c r="B104" t="str">
        <x:v>2025-11-03</x:v>
      </x:c>
      <x:c r="C104" t="str">
        <x:v>East</x:v>
      </x:c>
      <x:c r="D104" t="str">
        <x:v>Furniture</x:v>
      </x:c>
      <x:c r="E104" t="str">
        <x:v>Consumer</x:v>
      </x:c>
      <x:c r="F104" t="str">
        <x:v>Online</x:v>
      </x:c>
      <x:c r="G104" t="n">
        <x:v>4</x:v>
      </x:c>
      <x:c r="H104" t="n">
        <x:v>346</x:v>
      </x:c>
      <x:c r="I104" t="n">
        <x:v>0.26</x:v>
      </x:c>
      <x:c r="J104" t="n">
        <x:v>1024.16</x:v>
      </x:c>
      <x:c r="K104" t="n">
        <x:v>177.35</x:v>
      </x:c>
      <x:c r="L104" t="str">
        <x:v>CUST-1068</x:v>
      </x:c>
    </x:row>
    <x:row r="105">
      <x:c r="A105" t="str">
        <x:v>ORD-0104</x:v>
      </x:c>
      <x:c r="B105" t="str">
        <x:v>2025-11-06</x:v>
      </x:c>
      <x:c r="C105" t="str">
        <x:v>West</x:v>
      </x:c>
      <x:c r="D105" t="str">
        <x:v>Home</x:v>
      </x:c>
      <x:c r="E105" t="str">
        <x:v>Corporate</x:v>
      </x:c>
      <x:c r="F105" t="str">
        <x:v>Retail</x:v>
      </x:c>
      <x:c r="G105" t="n">
        <x:v>2</x:v>
      </x:c>
      <x:c r="H105" t="n">
        <x:v>182</x:v>
      </x:c>
      <x:c r="I105" t="n">
        <x:v>0.01</x:v>
      </x:c>
      <x:c r="J105" t="n">
        <x:v>360.36</x:v>
      </x:c>
      <x:c r="K105" t="n">
        <x:v>133.54</x:v>
      </x:c>
      <x:c r="L105" t="str">
        <x:v>CUST-1002</x:v>
      </x:c>
    </x:row>
    <x:row r="106">
      <x:c r="A106" t="str">
        <x:v>ORD-0105</x:v>
      </x:c>
      <x:c r="B106" t="str">
        <x:v>2025-11-09</x:v>
      </x:c>
      <x:c r="C106" t="str">
        <x:v>North</x:v>
      </x:c>
      <x:c r="D106" t="str">
        <x:v>Furniture</x:v>
      </x:c>
      <x:c r="E106" t="str">
        <x:v>Small Business</x:v>
      </x:c>
      <x:c r="F106" t="str">
        <x:v>Partner</x:v>
      </x:c>
      <x:c r="G106" t="n">
        <x:v>9</x:v>
      </x:c>
      <x:c r="H106" t="n">
        <x:v>310</x:v>
      </x:c>
      <x:c r="I106" t="n">
        <x:v>0.04</x:v>
      </x:c>
      <x:c r="J106" t="n">
        <x:v>2678.4</x:v>
      </x:c>
      <x:c r="K106" t="n">
        <x:v>705.17</x:v>
      </x:c>
      <x:c r="L106" t="str">
        <x:v>CUST-1021</x:v>
      </x:c>
    </x:row>
    <x:row r="107">
      <x:c r="A107" t="str">
        <x:v>ORD-0106</x:v>
      </x:c>
      <x:c r="B107" t="str">
        <x:v>2025-11-12</x:v>
      </x:c>
      <x:c r="C107" t="str">
        <x:v>South</x:v>
      </x:c>
      <x:c r="D107" t="str">
        <x:v>Home</x:v>
      </x:c>
      <x:c r="E107" t="str">
        <x:v>Consumer</x:v>
      </x:c>
      <x:c r="F107" t="str">
        <x:v>Online</x:v>
      </x:c>
      <x:c r="G107" t="n">
        <x:v>7</x:v>
      </x:c>
      <x:c r="H107" t="n">
        <x:v>146</x:v>
      </x:c>
      <x:c r="I107" t="n">
        <x:v>0.07</x:v>
      </x:c>
      <x:c r="J107" t="n">
        <x:v>950.46</x:v>
      </x:c>
      <x:c r="K107" t="n">
        <x:v>363.68</x:v>
      </x:c>
      <x:c r="L107" t="str">
        <x:v>CUST-1040</x:v>
      </x:c>
    </x:row>
    <x:row r="108">
      <x:c r="A108" t="str">
        <x:v>ORD-0107</x:v>
      </x:c>
      <x:c r="B108" t="str">
        <x:v>2025-11-15</x:v>
      </x:c>
      <x:c r="C108" t="str">
        <x:v>East</x:v>
      </x:c>
      <x:c r="D108" t="str">
        <x:v>Electronics</x:v>
      </x:c>
      <x:c r="E108" t="str">
        <x:v>Corporate</x:v>
      </x:c>
      <x:c r="F108" t="str">
        <x:v>Retail</x:v>
      </x:c>
      <x:c r="G108" t="n">
        <x:v>5</x:v>
      </x:c>
      <x:c r="H108" t="n">
        <x:v>432</x:v>
      </x:c>
      <x:c r="I108" t="n">
        <x:v>0.1</x:v>
      </x:c>
      <x:c r="J108" t="n">
        <x:v>1944</x:v>
      </x:c>
      <x:c r="K108" t="n">
        <x:v>-201.4</x:v>
      </x:c>
      <x:c r="L108" t="str">
        <x:v>CUST-1059</x:v>
      </x:c>
    </x:row>
    <x:row r="109">
      <x:c r="A109" t="str">
        <x:v>ORD-0108</x:v>
      </x:c>
      <x:c r="B109" t="str">
        <x:v>2025-11-18</x:v>
      </x:c>
      <x:c r="C109" t="str">
        <x:v>West</x:v>
      </x:c>
      <x:c r="D109" t="str">
        <x:v>Office Supplies</x:v>
      </x:c>
      <x:c r="E109" t="str">
        <x:v>Small Business</x:v>
      </x:c>
      <x:c r="F109" t="str">
        <x:v>Partner</x:v>
      </x:c>
      <x:c r="G109" t="n">
        <x:v>3</x:v>
      </x:c>
      <x:c r="H109" t="n">
        <x:v>103</x:v>
      </x:c>
      <x:c r="I109" t="n">
        <x:v>0.13</x:v>
      </x:c>
      <x:c r="J109" t="n">
        <x:v>268.83</x:v>
      </x:c>
      <x:c r="K109" t="n">
        <x:v>94.91</x:v>
      </x:c>
      <x:c r="L109" t="str">
        <x:v>CUST-1078</x:v>
      </x:c>
    </x:row>
    <x:row r="110">
      <x:c r="A110" t="str">
        <x:v>ORD-0109</x:v>
      </x:c>
      <x:c r="B110" t="str">
        <x:v>2025-11-21</x:v>
      </x:c>
      <x:c r="C110" t="str">
        <x:v>North</x:v>
      </x:c>
      <x:c r="D110" t="str">
        <x:v>Grocery</x:v>
      </x:c>
      <x:c r="E110" t="str">
        <x:v>Consumer</x:v>
      </x:c>
      <x:c r="F110" t="str">
        <x:v>Online</x:v>
      </x:c>
      <x:c r="G110" t="n">
        <x:v>1</x:v>
      </x:c>
      <x:c r="H110" t="n">
        <x:v>59</x:v>
      </x:c>
      <x:c r="I110" t="n">
        <x:v>0.16</x:v>
      </x:c>
      <x:c r="J110" t="n">
        <x:v>49.56</x:v>
      </x:c>
      <x:c r="K110" t="n">
        <x:v>4.89</x:v>
      </x:c>
      <x:c r="L110" t="str">
        <x:v>CUST-1012</x:v>
      </x:c>
    </x:row>
    <x:row r="111">
      <x:c r="A111" t="str">
        <x:v>ORD-0110</x:v>
      </x:c>
      <x:c r="B111" t="str">
        <x:v>2025-11-24</x:v>
      </x:c>
      <x:c r="C111" t="str">
        <x:v>South</x:v>
      </x:c>
      <x:c r="D111" t="str">
        <x:v>Furniture</x:v>
      </x:c>
      <x:c r="E111" t="str">
        <x:v>Corporate</x:v>
      </x:c>
      <x:c r="F111" t="str">
        <x:v>Retail</x:v>
      </x:c>
      <x:c r="G111" t="n">
        <x:v>8</x:v>
      </x:c>
      <x:c r="H111" t="n">
        <x:v>340</x:v>
      </x:c>
      <x:c r="I111" t="n">
        <x:v>0.19</x:v>
      </x:c>
      <x:c r="J111" t="n">
        <x:v>2203.2</x:v>
      </x:c>
      <x:c r="K111" t="n">
        <x:v>389.58</x:v>
      </x:c>
      <x:c r="L111" t="str">
        <x:v>CUST-1031</x:v>
      </x:c>
    </x:row>
    <x:row r="112">
      <x:c r="A112" t="str">
        <x:v>ORD-0111</x:v>
      </x:c>
      <x:c r="B112" t="str">
        <x:v>2025-11-27</x:v>
      </x:c>
      <x:c r="C112" t="str">
        <x:v>East</x:v>
      </x:c>
      <x:c r="D112" t="str">
        <x:v>Home</x:v>
      </x:c>
      <x:c r="E112" t="str">
        <x:v>Small Business</x:v>
      </x:c>
      <x:c r="F112" t="str">
        <x:v>Online</x:v>
      </x:c>
      <x:c r="G112" t="n">
        <x:v>6</x:v>
      </x:c>
      <x:c r="H112" t="n">
        <x:v>176</x:v>
      </x:c>
      <x:c r="I112" t="n">
        <x:v>0.22</x:v>
      </x:c>
      <x:c r="J112" t="n">
        <x:v>823.68</x:v>
      </x:c>
      <x:c r="K112" t="n">
        <x:v>240.1</x:v>
      </x:c>
      <x:c r="L112" t="str">
        <x:v>CUST-1050</x:v>
      </x:c>
    </x:row>
    <x:row r="113">
      <x:c r="A113" t="str">
        <x:v>ORD-0112</x:v>
      </x:c>
      <x:c r="B113" t="str">
        <x:v>2025-11-30</x:v>
      </x:c>
      <x:c r="C113" t="str">
        <x:v>West</x:v>
      </x:c>
      <x:c r="D113" t="str">
        <x:v>Electronics</x:v>
      </x:c>
      <x:c r="E113" t="str">
        <x:v>Consumer</x:v>
      </x:c>
      <x:c r="F113" t="str">
        <x:v>Retail</x:v>
      </x:c>
      <x:c r="G113" t="n">
        <x:v>4</x:v>
      </x:c>
      <x:c r="H113" t="n">
        <x:v>462</x:v>
      </x:c>
      <x:c r="I113" t="n">
        <x:v>0.25</x:v>
      </x:c>
      <x:c r="J113" t="n">
        <x:v>1386</x:v>
      </x:c>
      <x:c r="K113" t="n">
        <x:v>311.78</x:v>
      </x:c>
      <x:c r="L113" t="str">
        <x:v>CUST-1069</x:v>
      </x:c>
    </x:row>
    <x:row r="114">
      <x:c r="A114" t="str">
        <x:v>ORD-0113</x:v>
      </x:c>
      <x:c r="B114" t="str">
        <x:v>2025-12-03</x:v>
      </x:c>
      <x:c r="C114" t="str">
        <x:v>North</x:v>
      </x:c>
      <x:c r="D114" t="str">
        <x:v>Office Supplies</x:v>
      </x:c>
      <x:c r="E114" t="str">
        <x:v>Corporate</x:v>
      </x:c>
      <x:c r="F114" t="str">
        <x:v>Partner</x:v>
      </x:c>
      <x:c r="G114" t="n">
        <x:v>2</x:v>
      </x:c>
      <x:c r="H114" t="n">
        <x:v>85</x:v>
      </x:c>
      <x:c r="I114" t="n">
        <x:v>0</x:v>
      </x:c>
      <x:c r="J114" t="n">
        <x:v>170</x:v>
      </x:c>
      <x:c r="K114" t="n">
        <x:v>53.4</x:v>
      </x:c>
      <x:c r="L114" t="str">
        <x:v>CUST-1003</x:v>
      </x:c>
    </x:row>
    <x:row r="115">
      <x:c r="A115" t="str">
        <x:v>ORD-0114</x:v>
      </x:c>
      <x:c r="B115" t="str">
        <x:v>2025-12-06</x:v>
      </x:c>
      <x:c r="C115" t="str">
        <x:v>South</x:v>
      </x:c>
      <x:c r="D115" t="str">
        <x:v>Grocery</x:v>
      </x:c>
      <x:c r="E115" t="str">
        <x:v>Small Business</x:v>
      </x:c>
      <x:c r="F115" t="str">
        <x:v>Online</x:v>
      </x:c>
      <x:c r="G115" t="n">
        <x:v>9</x:v>
      </x:c>
      <x:c r="H115" t="n">
        <x:v>41</x:v>
      </x:c>
      <x:c r="I115" t="n">
        <x:v>0.03</x:v>
      </x:c>
      <x:c r="J115" t="n">
        <x:v>357.93</x:v>
      </x:c>
      <x:c r="K115" t="n">
        <x:v>78.9</x:v>
      </x:c>
      <x:c r="L115" t="str">
        <x:v>CUST-1022</x:v>
      </x:c>
    </x:row>
    <x:row r="116">
      <x:c r="A116" t="str">
        <x:v>ORD-0115</x:v>
      </x:c>
      <x:c r="B116" t="str">
        <x:v>2025-12-09</x:v>
      </x:c>
      <x:c r="C116" t="str">
        <x:v>East</x:v>
      </x:c>
      <x:c r="D116" t="str">
        <x:v>Furniture</x:v>
      </x:c>
      <x:c r="E116" t="str">
        <x:v>Consumer</x:v>
      </x:c>
      <x:c r="F116" t="str">
        <x:v>Retail</x:v>
      </x:c>
      <x:c r="G116" t="n">
        <x:v>7</x:v>
      </x:c>
      <x:c r="H116" t="n">
        <x:v>322</x:v>
      </x:c>
      <x:c r="I116" t="n">
        <x:v>0.06</x:v>
      </x:c>
      <x:c r="J116" t="n">
        <x:v>2118.76</x:v>
      </x:c>
      <x:c r="K116" t="n">
        <x:v>565.07</x:v>
      </x:c>
      <x:c r="L116" t="str">
        <x:v>CUST-1041</x:v>
      </x:c>
    </x:row>
    <x:row r="117">
      <x:c r="A117" t="str">
        <x:v>ORD-0116</x:v>
      </x:c>
      <x:c r="B117" t="str">
        <x:v>2025-12-12</x:v>
      </x:c>
      <x:c r="C117" t="str">
        <x:v>West</x:v>
      </x:c>
      <x:c r="D117" t="str">
        <x:v>Home</x:v>
      </x:c>
      <x:c r="E117" t="str">
        <x:v>Corporate</x:v>
      </x:c>
      <x:c r="F117" t="str">
        <x:v>Partner</x:v>
      </x:c>
      <x:c r="G117" t="n">
        <x:v>5</x:v>
      </x:c>
      <x:c r="H117" t="n">
        <x:v>158</x:v>
      </x:c>
      <x:c r="I117" t="n">
        <x:v>0.09</x:v>
      </x:c>
      <x:c r="J117" t="n">
        <x:v>718.9</x:v>
      </x:c>
      <x:c r="K117" t="n">
        <x:v>262.37</x:v>
      </x:c>
      <x:c r="L117" t="str">
        <x:v>CUST-1060</x:v>
      </x:c>
    </x:row>
    <x:row r="118">
      <x:c r="A118" t="str">
        <x:v>ORD-0117</x:v>
      </x:c>
      <x:c r="B118" t="str">
        <x:v>2025-12-15</x:v>
      </x:c>
      <x:c r="C118" t="str">
        <x:v>North</x:v>
      </x:c>
      <x:c r="D118" t="str">
        <x:v>Electronics</x:v>
      </x:c>
      <x:c r="E118" t="str">
        <x:v>Small Business</x:v>
      </x:c>
      <x:c r="F118" t="str">
        <x:v>Online</x:v>
      </x:c>
      <x:c r="G118" t="n">
        <x:v>3</x:v>
      </x:c>
      <x:c r="H118" t="n">
        <x:v>444</x:v>
      </x:c>
      <x:c r="I118" t="n">
        <x:v>0.12</x:v>
      </x:c>
      <x:c r="J118" t="n">
        <x:v>1172.16</x:v>
      </x:c>
      <x:c r="K118" t="n">
        <x:v>368.09</x:v>
      </x:c>
      <x:c r="L118" t="str">
        <x:v>CUST-1079</x:v>
      </x:c>
    </x:row>
    <x:row r="119">
      <x:c r="A119" t="str">
        <x:v>ORD-0118</x:v>
      </x:c>
      <x:c r="B119" t="str">
        <x:v>2025-12-18</x:v>
      </x:c>
      <x:c r="C119" t="str">
        <x:v>South</x:v>
      </x:c>
      <x:c r="D119" t="str">
        <x:v>Home</x:v>
      </x:c>
      <x:c r="E119" t="str">
        <x:v>Consumer</x:v>
      </x:c>
      <x:c r="F119" t="str">
        <x:v>Retail</x:v>
      </x:c>
      <x:c r="G119" t="n">
        <x:v>1</x:v>
      </x:c>
      <x:c r="H119" t="n">
        <x:v>170</x:v>
      </x:c>
      <x:c r="I119" t="n">
        <x:v>0.15</x:v>
      </x:c>
      <x:c r="J119" t="n">
        <x:v>144.5</x:v>
      </x:c>
      <x:c r="K119" t="n">
        <x:v>49.36</x:v>
      </x:c>
      <x:c r="L119" t="str">
        <x:v>CUST-1013</x:v>
      </x:c>
    </x:row>
    <x:row r="120">
      <x:c r="A120" t="str">
        <x:v>ORD-0119</x:v>
      </x:c>
      <x:c r="B120" t="str">
        <x:v>2025-12-21</x:v>
      </x:c>
      <x:c r="C120" t="str">
        <x:v>East</x:v>
      </x:c>
      <x:c r="D120" t="str">
        <x:v>Electronics</x:v>
      </x:c>
      <x:c r="E120" t="str">
        <x:v>Corporate</x:v>
      </x:c>
      <x:c r="F120" t="str">
        <x:v>Partner</x:v>
      </x:c>
      <x:c r="G120" t="n">
        <x:v>8</x:v>
      </x:c>
      <x:c r="H120" t="n">
        <x:v>456</x:v>
      </x:c>
      <x:c r="I120" t="n">
        <x:v>0.18</x:v>
      </x:c>
      <x:c r="J120" t="n">
        <x:v>2991.36</x:v>
      </x:c>
      <x:c r="K120" t="n">
        <x:v>939.24</x:v>
      </x:c>
      <x:c r="L120" t="str">
        <x:v>CUST-1032</x:v>
      </x:c>
    </x:row>
    <x:row r="121">
      <x:c r="A121" t="str">
        <x:v>ORD-0120</x:v>
      </x:c>
      <x:c r="B121" t="str">
        <x:v>2025-12-24</x:v>
      </x:c>
      <x:c r="C121" t="str">
        <x:v>West</x:v>
      </x:c>
      <x:c r="D121" t="str">
        <x:v>Office Supplies</x:v>
      </x:c>
      <x:c r="E121" t="str">
        <x:v>Consumer</x:v>
      </x:c>
      <x:c r="F121" t="str">
        <x:v>Online</x:v>
      </x:c>
      <x:c r="G121" t="n">
        <x:v>6</x:v>
      </x:c>
      <x:c r="H121" t="n">
        <x:v>127</x:v>
      </x:c>
      <x:c r="I121" t="n">
        <x:v>0.21</x:v>
      </x:c>
      <x:c r="J121" t="n">
        <x:v>601.98</x:v>
      </x:c>
      <x:c r="K121" t="n">
        <x:v>191.65</x:v>
      </x:c>
      <x:c r="L121" t="str">
        <x:v>CUST-1051</x:v>
      </x:c>
    </x:row>
    <x:row r="122">
      <x:c r="A122" t="str">
        <x:v>ORD-0121</x:v>
      </x:c>
      <x:c r="B122" t="str">
        <x:v>2025-12-27</x:v>
      </x:c>
      <x:c r="C122" t="str">
        <x:v>North</x:v>
      </x:c>
      <x:c r="D122" t="str">
        <x:v>Grocery</x:v>
      </x:c>
      <x:c r="E122" t="str">
        <x:v>Corporate</x:v>
      </x:c>
      <x:c r="F122" t="str">
        <x:v>Retail</x:v>
      </x:c>
      <x:c r="G122" t="n">
        <x:v>4</x:v>
      </x:c>
      <x:c r="H122" t="n">
        <x:v>35</x:v>
      </x:c>
      <x:c r="I122" t="n">
        <x:v>0.24</x:v>
      </x:c>
      <x:c r="J122" t="n">
        <x:v>106.4</x:v>
      </x:c>
      <x:c r="K122" t="n">
        <x:v>8.96</x:v>
      </x:c>
      <x:c r="L122" t="str">
        <x:v>CUST-1070</x:v>
      </x:c>
    </x:row>
    <x:row r="123">
      <x:c r="A123" t="str">
        <x:v>ORD-0122</x:v>
      </x:c>
      <x:c r="B123" t="str">
        <x:v>2025-12-30</x:v>
      </x:c>
      <x:c r="C123" t="str">
        <x:v>South</x:v>
      </x:c>
      <x:c r="D123" t="str">
        <x:v>Furniture</x:v>
      </x:c>
      <x:c r="E123" t="str">
        <x:v>Small Business</x:v>
      </x:c>
      <x:c r="F123" t="str">
        <x:v>Online</x:v>
      </x:c>
      <x:c r="G123" t="n">
        <x:v>2</x:v>
      </x:c>
      <x:c r="H123" t="n">
        <x:v>316</x:v>
      </x:c>
      <x:c r="I123" t="n">
        <x:v>0.27</x:v>
      </x:c>
      <x:c r="J123" t="n">
        <x:v>461.36</x:v>
      </x:c>
      <x:c r="K123" t="n">
        <x:v>76.04</x:v>
      </x:c>
      <x:c r="L123" t="str">
        <x:v>CUST-1004</x:v>
      </x:c>
    </x:row>
    <x:row r="124">
      <x:c r="A124" t="str">
        <x:v>ORD-0123</x:v>
      </x:c>
      <x:c r="B124" t="str">
        <x:v>2026-01-02</x:v>
      </x:c>
      <x:c r="C124" t="str">
        <x:v>East</x:v>
      </x:c>
      <x:c r="D124" t="str">
        <x:v>Home</x:v>
      </x:c>
      <x:c r="E124" t="str">
        <x:v>Consumer</x:v>
      </x:c>
      <x:c r="F124" t="str">
        <x:v>Retail</x:v>
      </x:c>
      <x:c r="G124" t="n">
        <x:v>9</x:v>
      </x:c>
      <x:c r="H124" t="n">
        <x:v>152</x:v>
      </x:c>
      <x:c r="I124" t="n">
        <x:v>0.02</x:v>
      </x:c>
      <x:c r="J124" t="n">
        <x:v>1340.64</x:v>
      </x:c>
      <x:c r="K124" t="n">
        <x:v>515.85</x:v>
      </x:c>
      <x:c r="L124" t="str">
        <x:v>CUST-1023</x:v>
      </x:c>
    </x:row>
    <x:row r="125">
      <x:c r="A125" t="str">
        <x:v>ORD-0124</x:v>
      </x:c>
      <x:c r="B125" t="str">
        <x:v>2026-01-05</x:v>
      </x:c>
      <x:c r="C125" t="str">
        <x:v>West</x:v>
      </x:c>
      <x:c r="D125" t="str">
        <x:v>Electronics</x:v>
      </x:c>
      <x:c r="E125" t="str">
        <x:v>Corporate</x:v>
      </x:c>
      <x:c r="F125" t="str">
        <x:v>Partner</x:v>
      </x:c>
      <x:c r="G125" t="n">
        <x:v>7</x:v>
      </x:c>
      <x:c r="H125" t="n">
        <x:v>438</x:v>
      </x:c>
      <x:c r="I125" t="n">
        <x:v>0.05</x:v>
      </x:c>
      <x:c r="J125" t="n">
        <x:v>2912.7</x:v>
      </x:c>
      <x:c r="K125" t="n">
        <x:v>914.06</x:v>
      </x:c>
      <x:c r="L125" t="str">
        <x:v>CUST-1042</x:v>
      </x:c>
    </x:row>
    <x:row r="126">
      <x:c r="A126" t="str">
        <x:v>ORD-0125</x:v>
      </x:c>
      <x:c r="B126" t="str">
        <x:v>2026-01-08</x:v>
      </x:c>
      <x:c r="C126" t="str">
        <x:v>North</x:v>
      </x:c>
      <x:c r="D126" t="str">
        <x:v>Office Supplies</x:v>
      </x:c>
      <x:c r="E126" t="str">
        <x:v>Small Business</x:v>
      </x:c>
      <x:c r="F126" t="str">
        <x:v>Online</x:v>
      </x:c>
      <x:c r="G126" t="n">
        <x:v>5</x:v>
      </x:c>
      <x:c r="H126" t="n">
        <x:v>109</x:v>
      </x:c>
      <x:c r="I126" t="n">
        <x:v>0.08</x:v>
      </x:c>
      <x:c r="J126" t="n">
        <x:v>501.4</x:v>
      </x:c>
      <x:c r="K126" t="n">
        <x:v>203.59</x:v>
      </x:c>
      <x:c r="L126" t="str">
        <x:v>CUST-1061</x:v>
      </x:c>
    </x:row>
    <x:row r="127">
      <x:c r="A127" t="str">
        <x:v>ORD-0126</x:v>
      </x:c>
      <x:c r="B127" t="str">
        <x:v>2026-01-11</x:v>
      </x:c>
      <x:c r="C127" t="str">
        <x:v>South</x:v>
      </x:c>
      <x:c r="D127" t="str">
        <x:v>Grocery</x:v>
      </x:c>
      <x:c r="E127" t="str">
        <x:v>Consumer</x:v>
      </x:c>
      <x:c r="F127" t="str">
        <x:v>Retail</x:v>
      </x:c>
      <x:c r="G127" t="n">
        <x:v>3</x:v>
      </x:c>
      <x:c r="H127" t="n">
        <x:v>65</x:v>
      </x:c>
      <x:c r="I127" t="n">
        <x:v>0.11</x:v>
      </x:c>
      <x:c r="J127" t="n">
        <x:v>173.55</x:v>
      </x:c>
      <x:c r="K127" t="n">
        <x:v>34.65</x:v>
      </x:c>
      <x:c r="L127" t="str">
        <x:v>CUST-1080</x:v>
      </x:c>
    </x:row>
    <x:row r="128">
      <x:c r="A128" t="str">
        <x:v>ORD-0127</x:v>
      </x:c>
      <x:c r="B128" t="str">
        <x:v>2026-01-14</x:v>
      </x:c>
      <x:c r="C128" t="str">
        <x:v>East</x:v>
      </x:c>
      <x:c r="D128" t="str">
        <x:v>Furniture</x:v>
      </x:c>
      <x:c r="E128" t="str">
        <x:v>Corporate</x:v>
      </x:c>
      <x:c r="F128" t="str">
        <x:v>Partner</x:v>
      </x:c>
      <x:c r="G128" t="n">
        <x:v>1</x:v>
      </x:c>
      <x:c r="H128" t="n">
        <x:v>346</x:v>
      </x:c>
      <x:c r="I128" t="n">
        <x:v>0.14</x:v>
      </x:c>
      <x:c r="J128" t="n">
        <x:v>297.56</x:v>
      </x:c>
      <x:c r="K128" t="n">
        <x:v>62.34</x:v>
      </x:c>
      <x:c r="L128" t="str">
        <x:v>CUST-1014</x:v>
      </x:c>
    </x:row>
    <x:row r="129">
      <x:c r="A129" t="str">
        <x:v>ORD-0128</x:v>
      </x:c>
      <x:c r="B129" t="str">
        <x:v>2026-01-17</x:v>
      </x:c>
      <x:c r="C129" t="str">
        <x:v>West</x:v>
      </x:c>
      <x:c r="D129" t="str">
        <x:v>Home</x:v>
      </x:c>
      <x:c r="E129" t="str">
        <x:v>Small Business</x:v>
      </x:c>
      <x:c r="F129" t="str">
        <x:v>Online</x:v>
      </x:c>
      <x:c r="G129" t="n">
        <x:v>8</x:v>
      </x:c>
      <x:c r="H129" t="n">
        <x:v>182</x:v>
      </x:c>
      <x:c r="I129" t="n">
        <x:v>0.17</x:v>
      </x:c>
      <x:c r="J129" t="n">
        <x:v>1208.48</x:v>
      </x:c>
      <x:c r="K129" t="n">
        <x:v>464.31</x:v>
      </x:c>
      <x:c r="L129" t="str">
        <x:v>CUST-1033</x:v>
      </x:c>
    </x:row>
    <x:row r="130">
      <x:c r="A130" t="str">
        <x:v>ORD-0129</x:v>
      </x:c>
      <x:c r="B130" t="str">
        <x:v>2026-01-20</x:v>
      </x:c>
      <x:c r="C130" t="str">
        <x:v>North</x:v>
      </x:c>
      <x:c r="D130" t="str">
        <x:v>Electronics</x:v>
      </x:c>
      <x:c r="E130" t="str">
        <x:v>Consumer</x:v>
      </x:c>
      <x:c r="F130" t="str">
        <x:v>Retail</x:v>
      </x:c>
      <x:c r="G130" t="n">
        <x:v>6</x:v>
      </x:c>
      <x:c r="H130" t="n">
        <x:v>420</x:v>
      </x:c>
      <x:c r="I130" t="n">
        <x:v>0.2</x:v>
      </x:c>
      <x:c r="J130" t="n">
        <x:v>2016</x:v>
      </x:c>
      <x:c r="K130" t="n">
        <x:v>456.68</x:v>
      </x:c>
      <x:c r="L130" t="str">
        <x:v>CUST-1052</x:v>
      </x:c>
    </x:row>
    <x:row r="131">
      <x:c r="A131" t="str">
        <x:v>ORD-0130</x:v>
      </x:c>
      <x:c r="B131" t="str">
        <x:v>2026-01-23</x:v>
      </x:c>
      <x:c r="C131" t="str">
        <x:v>South</x:v>
      </x:c>
      <x:c r="D131" t="str">
        <x:v>Office Supplies</x:v>
      </x:c>
      <x:c r="E131" t="str">
        <x:v>Corporate</x:v>
      </x:c>
      <x:c r="F131" t="str">
        <x:v>Partner</x:v>
      </x:c>
      <x:c r="G131" t="n">
        <x:v>4</x:v>
      </x:c>
      <x:c r="H131" t="n">
        <x:v>91</x:v>
      </x:c>
      <x:c r="I131" t="n">
        <x:v>0.23</x:v>
      </x:c>
      <x:c r="J131" t="n">
        <x:v>280.28</x:v>
      </x:c>
      <x:c r="K131" t="n">
        <x:v>74.49</x:v>
      </x:c>
      <x:c r="L131" t="str">
        <x:v>CUST-1071</x:v>
      </x:c>
    </x:row>
    <x:row r="132">
      <x:c r="A132" t="str">
        <x:v>ORD-0131</x:v>
      </x:c>
      <x:c r="B132" t="str">
        <x:v>2026-01-26</x:v>
      </x:c>
      <x:c r="C132" t="str">
        <x:v>East</x:v>
      </x:c>
      <x:c r="D132" t="str">
        <x:v>Electronics</x:v>
      </x:c>
      <x:c r="E132" t="str">
        <x:v>Small Business</x:v>
      </x:c>
      <x:c r="F132" t="str">
        <x:v>Online</x:v>
      </x:c>
      <x:c r="G132" t="n">
        <x:v>2</x:v>
      </x:c>
      <x:c r="H132" t="n">
        <x:v>432</x:v>
      </x:c>
      <x:c r="I132" t="n">
        <x:v>0.26</x:v>
      </x:c>
      <x:c r="J132" t="n">
        <x:v>639.36</x:v>
      </x:c>
      <x:c r="K132" t="n">
        <x:v>140.05</x:v>
      </x:c>
      <x:c r="L132" t="str">
        <x:v>CUST-1005</x:v>
      </x:c>
    </x:row>
    <x:row r="133">
      <x:c r="A133" t="str">
        <x:v>ORD-0132</x:v>
      </x:c>
      <x:c r="B133" t="str">
        <x:v>2026-01-29</x:v>
      </x:c>
      <x:c r="C133" t="str">
        <x:v>West</x:v>
      </x:c>
      <x:c r="D133" t="str">
        <x:v>Office Supplies</x:v>
      </x:c>
      <x:c r="E133" t="str">
        <x:v>Consumer</x:v>
      </x:c>
      <x:c r="F133" t="str">
        <x:v>Retail</x:v>
      </x:c>
      <x:c r="G133" t="n">
        <x:v>9</x:v>
      </x:c>
      <x:c r="H133" t="n">
        <x:v>103</x:v>
      </x:c>
      <x:c r="I133" t="n">
        <x:v>0.01</x:v>
      </x:c>
      <x:c r="J133" t="n">
        <x:v>917.73</x:v>
      </x:c>
      <x:c r="K133" t="n">
        <x:v>378.45</x:v>
      </x:c>
      <x:c r="L133" t="str">
        <x:v>CUST-1024</x:v>
      </x:c>
    </x:row>
    <x:row r="134">
      <x:c r="A134" t="str">
        <x:v>ORD-0133</x:v>
      </x:c>
      <x:c r="B134" t="str">
        <x:v>2026-02-01</x:v>
      </x:c>
      <x:c r="C134" t="str">
        <x:v>North</x:v>
      </x:c>
      <x:c r="D134" t="str">
        <x:v>Grocery</x:v>
      </x:c>
      <x:c r="E134" t="str">
        <x:v>Corporate</x:v>
      </x:c>
      <x:c r="F134" t="str">
        <x:v>Online</x:v>
      </x:c>
      <x:c r="G134" t="n">
        <x:v>7</x:v>
      </x:c>
      <x:c r="H134" t="n">
        <x:v>59</x:v>
      </x:c>
      <x:c r="I134" t="n">
        <x:v>0.04</x:v>
      </x:c>
      <x:c r="J134" t="n">
        <x:v>396.48</x:v>
      </x:c>
      <x:c r="K134" t="n">
        <x:v>88.16</x:v>
      </x:c>
      <x:c r="L134" t="str">
        <x:v>CUST-1043</x:v>
      </x:c>
    </x:row>
    <x:row r="135">
      <x:c r="A135" t="str">
        <x:v>ORD-0134</x:v>
      </x:c>
      <x:c r="B135" t="str">
        <x:v>2026-02-04</x:v>
      </x:c>
      <x:c r="C135" t="str">
        <x:v>South</x:v>
      </x:c>
      <x:c r="D135" t="str">
        <x:v>Furniture</x:v>
      </x:c>
      <x:c r="E135" t="str">
        <x:v>Small Business</x:v>
      </x:c>
      <x:c r="F135" t="str">
        <x:v>Retail</x:v>
      </x:c>
      <x:c r="G135" t="n">
        <x:v>5</x:v>
      </x:c>
      <x:c r="H135" t="n">
        <x:v>340</x:v>
      </x:c>
      <x:c r="I135" t="n">
        <x:v>0.07</x:v>
      </x:c>
      <x:c r="J135" t="n">
        <x:v>1581</x:v>
      </x:c>
      <x:c r="K135" t="n">
        <x:v>419.87</x:v>
      </x:c>
      <x:c r="L135" t="str">
        <x:v>CUST-1062</x:v>
      </x:c>
    </x:row>
    <x:row r="136">
      <x:c r="A136" t="str">
        <x:v>ORD-0135</x:v>
      </x:c>
      <x:c r="B136" t="str">
        <x:v>2026-02-07</x:v>
      </x:c>
      <x:c r="C136" t="str">
        <x:v>East</x:v>
      </x:c>
      <x:c r="D136" t="str">
        <x:v>Home</x:v>
      </x:c>
      <x:c r="E136" t="str">
        <x:v>Consumer</x:v>
      </x:c>
      <x:c r="F136" t="str">
        <x:v>Partner</x:v>
      </x:c>
      <x:c r="G136" t="n">
        <x:v>3</x:v>
      </x:c>
      <x:c r="H136" t="n">
        <x:v>176</x:v>
      </x:c>
      <x:c r="I136" t="n">
        <x:v>0.1</x:v>
      </x:c>
      <x:c r="J136" t="n">
        <x:v>475.2</x:v>
      </x:c>
      <x:c r="K136" t="n">
        <x:v>167.33</x:v>
      </x:c>
      <x:c r="L136" t="str">
        <x:v>CUST-1081</x:v>
      </x:c>
    </x:row>
    <x:row r="137">
      <x:c r="A137" t="str">
        <x:v>ORD-0136</x:v>
      </x:c>
      <x:c r="B137" t="str">
        <x:v>2026-02-10</x:v>
      </x:c>
      <x:c r="C137" t="str">
        <x:v>West</x:v>
      </x:c>
      <x:c r="D137" t="str">
        <x:v>Electronics</x:v>
      </x:c>
      <x:c r="E137" t="str">
        <x:v>Corporate</x:v>
      </x:c>
      <x:c r="F137" t="str">
        <x:v>Online</x:v>
      </x:c>
      <x:c r="G137" t="n">
        <x:v>1</x:v>
      </x:c>
      <x:c r="H137" t="n">
        <x:v>462</x:v>
      </x:c>
      <x:c r="I137" t="n">
        <x:v>0.13</x:v>
      </x:c>
      <x:c r="J137" t="n">
        <x:v>401.94</x:v>
      </x:c>
      <x:c r="K137" t="n">
        <x:v>121.62</x:v>
      </x:c>
      <x:c r="L137" t="str">
        <x:v>CUST-1015</x:v>
      </x:c>
    </x:row>
    <x:row r="138">
      <x:c r="A138" t="str">
        <x:v>ORD-0137</x:v>
      </x:c>
      <x:c r="B138" t="str">
        <x:v>2026-02-13</x:v>
      </x:c>
      <x:c r="C138" t="str">
        <x:v>North</x:v>
      </x:c>
      <x:c r="D138" t="str">
        <x:v>Office Supplies</x:v>
      </x:c>
      <x:c r="E138" t="str">
        <x:v>Consumer</x:v>
      </x:c>
      <x:c r="F138" t="str">
        <x:v>Retail</x:v>
      </x:c>
      <x:c r="G138" t="n">
        <x:v>8</x:v>
      </x:c>
      <x:c r="H138" t="n">
        <x:v>85</x:v>
      </x:c>
      <x:c r="I138" t="n">
        <x:v>0.16</x:v>
      </x:c>
      <x:c r="J138" t="n">
        <x:v>571.2</x:v>
      </x:c>
      <x:c r="K138" t="n">
        <x:v>232.9</x:v>
      </x:c>
      <x:c r="L138" t="str">
        <x:v>CUST-1034</x:v>
      </x:c>
    </x:row>
    <x:row r="139">
      <x:c r="A139" t="str">
        <x:v>ORD-0138</x:v>
      </x:c>
      <x:c r="B139" t="str">
        <x:v>2026-02-16</x:v>
      </x:c>
      <x:c r="C139" t="str">
        <x:v>South</x:v>
      </x:c>
      <x:c r="D139" t="str">
        <x:v>Grocery</x:v>
      </x:c>
      <x:c r="E139" t="str">
        <x:v>Corporate</x:v>
      </x:c>
      <x:c r="F139" t="str">
        <x:v>Partner</x:v>
      </x:c>
      <x:c r="G139" t="n">
        <x:v>6</x:v>
      </x:c>
      <x:c r="H139" t="n">
        <x:v>41</x:v>
      </x:c>
      <x:c r="I139" t="n">
        <x:v>0.19</x:v>
      </x:c>
      <x:c r="J139" t="n">
        <x:v>199.26</x:v>
      </x:c>
      <x:c r="K139" t="n">
        <x:v>11.89</x:v>
      </x:c>
      <x:c r="L139" t="str">
        <x:v>CUST-1053</x:v>
      </x:c>
    </x:row>
    <x:row r="140">
      <x:c r="A140" t="str">
        <x:v>ORD-0139</x:v>
      </x:c>
      <x:c r="B140" t="str">
        <x:v>2026-02-19</x:v>
      </x:c>
      <x:c r="C140" t="str">
        <x:v>East</x:v>
      </x:c>
      <x:c r="D140" t="str">
        <x:v>Furniture</x:v>
      </x:c>
      <x:c r="E140" t="str">
        <x:v>Small Business</x:v>
      </x:c>
      <x:c r="F140" t="str">
        <x:v>Online</x:v>
      </x:c>
      <x:c r="G140" t="n">
        <x:v>4</x:v>
      </x:c>
      <x:c r="H140" t="n">
        <x:v>322</x:v>
      </x:c>
      <x:c r="I140" t="n">
        <x:v>0.22</x:v>
      </x:c>
      <x:c r="J140" t="n">
        <x:v>1004.64</x:v>
      </x:c>
      <x:c r="K140" t="n">
        <x:v>173.84</x:v>
      </x:c>
      <x:c r="L140" t="str">
        <x:v>CUST-1072</x:v>
      </x:c>
    </x:row>
    <x:row r="141">
      <x:c r="A141" t="str">
        <x:v>ORD-0140</x:v>
      </x:c>
      <x:c r="B141" t="str">
        <x:v>2026-02-22</x:v>
      </x:c>
      <x:c r="C141" t="str">
        <x:v>West</x:v>
      </x:c>
      <x:c r="D141" t="str">
        <x:v>Home</x:v>
      </x:c>
      <x:c r="E141" t="str">
        <x:v>Consumer</x:v>
      </x:c>
      <x:c r="F141" t="str">
        <x:v>Retail</x:v>
      </x:c>
      <x:c r="G141" t="n">
        <x:v>2</x:v>
      </x:c>
      <x:c r="H141" t="n">
        <x:v>158</x:v>
      </x:c>
      <x:c r="I141" t="n">
        <x:v>0.25</x:v>
      </x:c>
      <x:c r="J141" t="n">
        <x:v>237</x:v>
      </x:c>
      <x:c r="K141" t="n">
        <x:v>64.1</x:v>
      </x:c>
      <x:c r="L141" t="str">
        <x:v>CUST-1006</x:v>
      </x:c>
    </x:row>
    <x:row r="142">
      <x:c r="A142" t="str">
        <x:v>ORD-0141</x:v>
      </x:c>
      <x:c r="B142" t="str">
        <x:v>2026-02-25</x:v>
      </x:c>
      <x:c r="C142" t="str">
        <x:v>North</x:v>
      </x:c>
      <x:c r="D142" t="str">
        <x:v>Electronics</x:v>
      </x:c>
      <x:c r="E142" t="str">
        <x:v>Corporate</x:v>
      </x:c>
      <x:c r="F142" t="str">
        <x:v>Partner</x:v>
      </x:c>
      <x:c r="G142" t="n">
        <x:v>9</x:v>
      </x:c>
      <x:c r="H142" t="n">
        <x:v>444</x:v>
      </x:c>
      <x:c r="I142" t="n">
        <x:v>0</x:v>
      </x:c>
      <x:c r="J142" t="n">
        <x:v>3996</x:v>
      </x:c>
      <x:c r="K142" t="n">
        <x:v>1260.72</x:v>
      </x:c>
      <x:c r="L142" t="str">
        <x:v>CUST-1025</x:v>
      </x:c>
    </x:row>
    <x:row r="143">
      <x:c r="A143" t="str">
        <x:v>ORD-0142</x:v>
      </x:c>
      <x:c r="B143" t="str">
        <x:v>2026-02-28</x:v>
      </x:c>
      <x:c r="C143" t="str">
        <x:v>South</x:v>
      </x:c>
      <x:c r="D143" t="str">
        <x:v>Office Supplies</x:v>
      </x:c>
      <x:c r="E143" t="str">
        <x:v>Small Business</x:v>
      </x:c>
      <x:c r="F143" t="str">
        <x:v>Online</x:v>
      </x:c>
      <x:c r="G143" t="n">
        <x:v>7</x:v>
      </x:c>
      <x:c r="H143" t="n">
        <x:v>115</x:v>
      </x:c>
      <x:c r="I143" t="n">
        <x:v>0.03</x:v>
      </x:c>
      <x:c r="J143" t="n">
        <x:v>780.85</x:v>
      </x:c>
      <x:c r="K143" t="n">
        <x:v>320.96</x:v>
      </x:c>
      <x:c r="L143" t="str">
        <x:v>CUST-1044</x:v>
      </x:c>
    </x:row>
    <x:row r="144">
      <x:c r="A144" t="str">
        <x:v>ORD-0143</x:v>
      </x:c>
      <x:c r="B144" t="str">
        <x:v>2026-03-03</x:v>
      </x:c>
      <x:c r="C144" t="str">
        <x:v>East</x:v>
      </x:c>
      <x:c r="D144" t="str">
        <x:v>Grocery</x:v>
      </x:c>
      <x:c r="E144" t="str">
        <x:v>Consumer</x:v>
      </x:c>
      <x:c r="F144" t="str">
        <x:v>Retail</x:v>
      </x:c>
      <x:c r="G144" t="n">
        <x:v>5</x:v>
      </x:c>
      <x:c r="H144" t="n">
        <x:v>71</x:v>
      </x:c>
      <x:c r="I144" t="n">
        <x:v>0.06</x:v>
      </x:c>
      <x:c r="J144" t="n">
        <x:v>333.7</x:v>
      </x:c>
      <x:c r="K144" t="n">
        <x:v>73.09</x:v>
      </x:c>
      <x:c r="L144" t="str">
        <x:v>CUST-1063</x:v>
      </x:c>
    </x:row>
    <x:row r="145">
      <x:c r="A145" t="str">
        <x:v>ORD-0144</x:v>
      </x:c>
      <x:c r="B145" t="str">
        <x:v>2026-03-06</x:v>
      </x:c>
      <x:c r="C145" t="str">
        <x:v>West</x:v>
      </x:c>
      <x:c r="D145" t="str">
        <x:v>Office Supplies</x:v>
      </x:c>
      <x:c r="E145" t="str">
        <x:v>Corporate</x:v>
      </x:c>
      <x:c r="F145" t="str">
        <x:v>Online</x:v>
      </x:c>
      <x:c r="G145" t="n">
        <x:v>3</x:v>
      </x:c>
      <x:c r="H145" t="n">
        <x:v>127</x:v>
      </x:c>
      <x:c r="I145" t="n">
        <x:v>0.09</x:v>
      </x:c>
      <x:c r="J145" t="n">
        <x:v>346.71</x:v>
      </x:c>
      <x:c r="K145" t="n">
        <x:v>138.62</x:v>
      </x:c>
      <x:c r="L145" t="str">
        <x:v>CUST-1082</x:v>
      </x:c>
    </x:row>
    <x:row r="146">
      <x:c r="A146" t="str">
        <x:v>ORD-0145</x:v>
      </x:c>
      <x:c r="B146" t="str">
        <x:v>2026-03-09</x:v>
      </x:c>
      <x:c r="C146" t="str">
        <x:v>North</x:v>
      </x:c>
      <x:c r="D146" t="str">
        <x:v>Grocery</x:v>
      </x:c>
      <x:c r="E146" t="str">
        <x:v>Small Business</x:v>
      </x:c>
      <x:c r="F146" t="str">
        <x:v>Retail</x:v>
      </x:c>
      <x:c r="G146" t="n">
        <x:v>1</x:v>
      </x:c>
      <x:c r="H146" t="n">
        <x:v>35</x:v>
      </x:c>
      <x:c r="I146" t="n">
        <x:v>0.12</x:v>
      </x:c>
      <x:c r="J146" t="n">
        <x:v>30.8</x:v>
      </x:c>
      <x:c r="K146" t="n">
        <x:v>0.39</x:v>
      </x:c>
      <x:c r="L146" t="str">
        <x:v>CUST-1016</x:v>
      </x:c>
    </x:row>
    <x:row r="147">
      <x:c r="A147" t="str">
        <x:v>ORD-0146</x:v>
      </x:c>
      <x:c r="B147" t="str">
        <x:v>2026-03-12</x:v>
      </x:c>
      <x:c r="C147" t="str">
        <x:v>South</x:v>
      </x:c>
      <x:c r="D147" t="str">
        <x:v>Furniture</x:v>
      </x:c>
      <x:c r="E147" t="str">
        <x:v>Consumer</x:v>
      </x:c>
      <x:c r="F147" t="str">
        <x:v>Partner</x:v>
      </x:c>
      <x:c r="G147" t="n">
        <x:v>8</x:v>
      </x:c>
      <x:c r="H147" t="n">
        <x:v>316</x:v>
      </x:c>
      <x:c r="I147" t="n">
        <x:v>0.15</x:v>
      </x:c>
      <x:c r="J147" t="n">
        <x:v>2148.8</x:v>
      </x:c>
      <x:c r="K147" t="n">
        <x:v>562.18</x:v>
      </x:c>
      <x:c r="L147" t="str">
        <x:v>CUST-1035</x:v>
      </x:c>
    </x:row>
    <x:row r="148">
      <x:c r="A148" t="str">
        <x:v>ORD-0147</x:v>
      </x:c>
      <x:c r="B148" t="str">
        <x:v>2026-03-15</x:v>
      </x:c>
      <x:c r="C148" t="str">
        <x:v>East</x:v>
      </x:c>
      <x:c r="D148" t="str">
        <x:v>Home</x:v>
      </x:c>
      <x:c r="E148" t="str">
        <x:v>Corporate</x:v>
      </x:c>
      <x:c r="F148" t="str">
        <x:v>Online</x:v>
      </x:c>
      <x:c r="G148" t="n">
        <x:v>6</x:v>
      </x:c>
      <x:c r="H148" t="n">
        <x:v>152</x:v>
      </x:c>
      <x:c r="I148" t="n">
        <x:v>0.18</x:v>
      </x:c>
      <x:c r="J148" t="n">
        <x:v>747.84</x:v>
      </x:c>
      <x:c r="K148" t="n">
        <x:v>284.66</x:v>
      </x:c>
      <x:c r="L148" t="str">
        <x:v>CUST-1054</x:v>
      </x:c>
    </x:row>
    <x:row r="149">
      <x:c r="A149" t="str">
        <x:v>ORD-0148</x:v>
      </x:c>
      <x:c r="B149" t="str">
        <x:v>2026-03-18</x:v>
      </x:c>
      <x:c r="C149" t="str">
        <x:v>West</x:v>
      </x:c>
      <x:c r="D149" t="str">
        <x:v>Electronics</x:v>
      </x:c>
      <x:c r="E149" t="str">
        <x:v>Small Business</x:v>
      </x:c>
      <x:c r="F149" t="str">
        <x:v>Retail</x:v>
      </x:c>
      <x:c r="G149" t="n">
        <x:v>4</x:v>
      </x:c>
      <x:c r="H149" t="n">
        <x:v>438</x:v>
      </x:c>
      <x:c r="I149" t="n">
        <x:v>0.21</x:v>
      </x:c>
      <x:c r="J149" t="n">
        <x:v>1384.08</x:v>
      </x:c>
      <x:c r="K149" t="n">
        <x:v>311.34</x:v>
      </x:c>
      <x:c r="L149" t="str">
        <x:v>CUST-1073</x:v>
      </x:c>
    </x:row>
    <x:row r="150">
      <x:c r="A150" t="str">
        <x:v>ORD-0149</x:v>
      </x:c>
      <x:c r="B150" t="str">
        <x:v>2026-03-21</x:v>
      </x:c>
      <x:c r="C150" t="str">
        <x:v>North</x:v>
      </x:c>
      <x:c r="D150" t="str">
        <x:v>Office Supplies</x:v>
      </x:c>
      <x:c r="E150" t="str">
        <x:v>Consumer</x:v>
      </x:c>
      <x:c r="F150" t="str">
        <x:v>Partner</x:v>
      </x:c>
      <x:c r="G150" t="n">
        <x:v>2</x:v>
      </x:c>
      <x:c r="H150" t="n">
        <x:v>109</x:v>
      </x:c>
      <x:c r="I150" t="n">
        <x:v>0.24</x:v>
      </x:c>
      <x:c r="J150" t="n">
        <x:v>165.68</x:v>
      </x:c>
      <x:c r="K150" t="n">
        <x:v>36.67</x:v>
      </x:c>
      <x:c r="L150" t="str">
        <x:v>CUST-1007</x:v>
      </x:c>
    </x:row>
    <x:row r="151">
      <x:c r="A151" t="str">
        <x:v>ORD-0150</x:v>
      </x:c>
      <x:c r="B151" t="str">
        <x:v>2026-03-24</x:v>
      </x:c>
      <x:c r="C151" t="str">
        <x:v>South</x:v>
      </x:c>
      <x:c r="D151" t="str">
        <x:v>Grocery</x:v>
      </x:c>
      <x:c r="E151" t="str">
        <x:v>Corporate</x:v>
      </x:c>
      <x:c r="F151" t="str">
        <x:v>Online</x:v>
      </x:c>
      <x:c r="G151" t="n">
        <x:v>9</x:v>
      </x:c>
      <x:c r="H151" t="n">
        <x:v>65</x:v>
      </x:c>
      <x:c r="I151" t="n">
        <x:v>0.27</x:v>
      </x:c>
      <x:c r="J151" t="n">
        <x:v>427.05</x:v>
      </x:c>
      <x:c r="K151" t="n">
        <x:v>57.06</x:v>
      </x:c>
      <x:c r="L151" t="str">
        <x:v>CUST-1026</x:v>
      </x:c>
    </x:row>
    <x:row r="152">
      <x:c r="A152" t="str">
        <x:v>ORD-0151</x:v>
      </x:c>
      <x:c r="B152" t="str">
        <x:v>2026-03-27</x:v>
      </x:c>
      <x:c r="C152" t="str">
        <x:v>East</x:v>
      </x:c>
      <x:c r="D152" t="str">
        <x:v>Furniture</x:v>
      </x:c>
      <x:c r="E152" t="str">
        <x:v>Small Business</x:v>
      </x:c>
      <x:c r="F152" t="str">
        <x:v>Retail</x:v>
      </x:c>
      <x:c r="G152" t="n">
        <x:v>7</x:v>
      </x:c>
      <x:c r="H152" t="n">
        <x:v>346</x:v>
      </x:c>
      <x:c r="I152" t="n">
        <x:v>0.02</x:v>
      </x:c>
      <x:c r="J152" t="n">
        <x:v>2373.56</x:v>
      </x:c>
      <x:c r="K152" t="n">
        <x:v>633.86</x:v>
      </x:c>
      <x:c r="L152" t="str">
        <x:v>CUST-1045</x:v>
      </x:c>
    </x:row>
    <x:row r="153">
      <x:c r="A153" t="str">
        <x:v>ORD-0152</x:v>
      </x:c>
      <x:c r="B153" t="str">
        <x:v>2026-03-30</x:v>
      </x:c>
      <x:c r="C153" t="str">
        <x:v>West</x:v>
      </x:c>
      <x:c r="D153" t="str">
        <x:v>Home</x:v>
      </x:c>
      <x:c r="E153" t="str">
        <x:v>Consumer</x:v>
      </x:c>
      <x:c r="F153" t="str">
        <x:v>Partner</x:v>
      </x:c>
      <x:c r="G153" t="n">
        <x:v>5</x:v>
      </x:c>
      <x:c r="H153" t="n">
        <x:v>182</x:v>
      </x:c>
      <x:c r="I153" t="n">
        <x:v>0.05</x:v>
      </x:c>
      <x:c r="J153" t="n">
        <x:v>864.5</x:v>
      </x:c>
      <x:c r="K153" t="n">
        <x:v>319.16</x:v>
      </x:c>
      <x:c r="L153" t="str">
        <x:v>CUST-1064</x:v>
      </x:c>
    </x:row>
    <x:row r="154">
      <x:c r="A154" t="str">
        <x:v>ORD-0153</x:v>
      </x:c>
      <x:c r="B154" t="str">
        <x:v>2026-04-02</x:v>
      </x:c>
      <x:c r="C154" t="str">
        <x:v>North</x:v>
      </x:c>
      <x:c r="D154" t="str">
        <x:v>Electronics</x:v>
      </x:c>
      <x:c r="E154" t="str">
        <x:v>Corporate</x:v>
      </x:c>
      <x:c r="F154" t="str">
        <x:v>Online</x:v>
      </x:c>
      <x:c r="G154" t="n">
        <x:v>3</x:v>
      </x:c>
      <x:c r="H154" t="n">
        <x:v>420</x:v>
      </x:c>
      <x:c r="I154" t="n">
        <x:v>0.08</x:v>
      </x:c>
      <x:c r="J154" t="n">
        <x:v>1159.2</x:v>
      </x:c>
      <x:c r="K154" t="n">
        <x:v>363.94</x:v>
      </x:c>
      <x:c r="L154" t="str">
        <x:v>CUST-1083</x:v>
      </x:c>
    </x:row>
    <x:row r="155">
      <x:c r="A155" t="str">
        <x:v>ORD-0154</x:v>
      </x:c>
      <x:c r="B155" t="str">
        <x:v>2026-04-05</x:v>
      </x:c>
      <x:c r="C155" t="str">
        <x:v>South</x:v>
      </x:c>
      <x:c r="D155" t="str">
        <x:v>Office Supplies</x:v>
      </x:c>
      <x:c r="E155" t="str">
        <x:v>Consumer</x:v>
      </x:c>
      <x:c r="F155" t="str">
        <x:v>Retail</x:v>
      </x:c>
      <x:c r="G155" t="n">
        <x:v>1</x:v>
      </x:c>
      <x:c r="H155" t="n">
        <x:v>91</x:v>
      </x:c>
      <x:c r="I155" t="n">
        <x:v>0.11</x:v>
      </x:c>
      <x:c r="J155" t="n">
        <x:v>80.99</x:v>
      </x:c>
      <x:c r="K155" t="n">
        <x:v>27.02</x:v>
      </x:c>
      <x:c r="L155" t="str">
        <x:v>CUST-1017</x:v>
      </x:c>
    </x:row>
    <x:row r="156">
      <x:c r="A156" t="str">
        <x:v>ORD-0155</x:v>
      </x:c>
      <x:c r="B156" t="str">
        <x:v>2026-04-08</x:v>
      </x:c>
      <x:c r="C156" t="str">
        <x:v>East</x:v>
      </x:c>
      <x:c r="D156" t="str">
        <x:v>Grocery</x:v>
      </x:c>
      <x:c r="E156" t="str">
        <x:v>Corporate</x:v>
      </x:c>
      <x:c r="F156" t="str">
        <x:v>Online</x:v>
      </x:c>
      <x:c r="G156" t="n">
        <x:v>8</x:v>
      </x:c>
      <x:c r="H156" t="n">
        <x:v>47</x:v>
      </x:c>
      <x:c r="I156" t="n">
        <x:v>0.14</x:v>
      </x:c>
      <x:c r="J156" t="n">
        <x:v>323.36</x:v>
      </x:c>
      <x:c r="K156" t="n">
        <x:v>70.61</x:v>
      </x:c>
      <x:c r="L156" t="str">
        <x:v>CUST-1036</x:v>
      </x:c>
    </x:row>
    <x:row r="157">
      <x:c r="A157" t="str">
        <x:v>ORD-0156</x:v>
      </x:c>
      <x:c r="B157" t="str">
        <x:v>2026-04-11</x:v>
      </x:c>
      <x:c r="C157" t="str">
        <x:v>West</x:v>
      </x:c>
      <x:c r="D157" t="str">
        <x:v>Furniture</x:v>
      </x:c>
      <x:c r="E157" t="str">
        <x:v>Small Business</x:v>
      </x:c>
      <x:c r="F157" t="str">
        <x:v>Retail</x:v>
      </x:c>
      <x:c r="G157" t="n">
        <x:v>6</x:v>
      </x:c>
      <x:c r="H157" t="n">
        <x:v>328</x:v>
      </x:c>
      <x:c r="I157" t="n">
        <x:v>0.17</x:v>
      </x:c>
      <x:c r="J157" t="n">
        <x:v>1633.44</x:v>
      </x:c>
      <x:c r="K157" t="n">
        <x:v>434.03</x:v>
      </x:c>
      <x:c r="L157" t="str">
        <x:v>CUST-1055</x:v>
      </x:c>
    </x:row>
    <x:row r="158">
      <x:c r="A158" t="str">
        <x:v>ORD-0157</x:v>
      </x:c>
      <x:c r="B158" t="str">
        <x:v>2026-04-14</x:v>
      </x:c>
      <x:c r="C158" t="str">
        <x:v>North</x:v>
      </x:c>
      <x:c r="D158" t="str">
        <x:v>Grocery</x:v>
      </x:c>
      <x:c r="E158" t="str">
        <x:v>Consumer</x:v>
      </x:c>
      <x:c r="F158" t="str">
        <x:v>Partner</x:v>
      </x:c>
      <x:c r="G158" t="n">
        <x:v>4</x:v>
      </x:c>
      <x:c r="H158" t="n">
        <x:v>59</x:v>
      </x:c>
      <x:c r="I158" t="n">
        <x:v>0.2</x:v>
      </x:c>
      <x:c r="J158" t="n">
        <x:v>188.8</x:v>
      </x:c>
      <x:c r="K158" t="n">
        <x:v>10.32</x:v>
      </x:c>
      <x:c r="L158" t="str">
        <x:v>CUST-1074</x:v>
      </x:c>
    </x:row>
    <x:row r="159">
      <x:c r="A159" t="str">
        <x:v>ORD-0158</x:v>
      </x:c>
      <x:c r="B159" t="str">
        <x:v>2026-04-17</x:v>
      </x:c>
      <x:c r="C159" t="str">
        <x:v>South</x:v>
      </x:c>
      <x:c r="D159" t="str">
        <x:v>Furniture</x:v>
      </x:c>
      <x:c r="E159" t="str">
        <x:v>Corporate</x:v>
      </x:c>
      <x:c r="F159" t="str">
        <x:v>Online</x:v>
      </x:c>
      <x:c r="G159" t="n">
        <x:v>2</x:v>
      </x:c>
      <x:c r="H159" t="n">
        <x:v>340</x:v>
      </x:c>
      <x:c r="I159" t="n">
        <x:v>0.23</x:v>
      </x:c>
      <x:c r="J159" t="n">
        <x:v>523.6</x:v>
      </x:c>
      <x:c r="K159" t="n">
        <x:v>87.25</x:v>
      </x:c>
      <x:c r="L159" t="str">
        <x:v>CUST-1008</x:v>
      </x:c>
    </x:row>
    <x:row r="160">
      <x:c r="A160" t="str">
        <x:v>ORD-0159</x:v>
      </x:c>
      <x:c r="B160" t="str">
        <x:v>2026-04-20</x:v>
      </x:c>
      <x:c r="C160" t="str">
        <x:v>East</x:v>
      </x:c>
      <x:c r="D160" t="str">
        <x:v>Home</x:v>
      </x:c>
      <x:c r="E160" t="str">
        <x:v>Small Business</x:v>
      </x:c>
      <x:c r="F160" t="str">
        <x:v>Retail</x:v>
      </x:c>
      <x:c r="G160" t="n">
        <x:v>9</x:v>
      </x:c>
      <x:c r="H160" t="n">
        <x:v>176</x:v>
      </x:c>
      <x:c r="I160" t="n">
        <x:v>0.26</x:v>
      </x:c>
      <x:c r="J160" t="n">
        <x:v>1172.16</x:v>
      </x:c>
      <x:c r="K160" t="n">
        <x:v>344.65</x:v>
      </x:c>
      <x:c r="L160" t="str">
        <x:v>CUST-1027</x:v>
      </x:c>
    </x:row>
    <x:row r="161">
      <x:c r="A161" t="str">
        <x:v>ORD-0160</x:v>
      </x:c>
      <x:c r="B161" t="str">
        <x:v>2026-04-23</x:v>
      </x:c>
      <x:c r="C161" t="str">
        <x:v>West</x:v>
      </x:c>
      <x:c r="D161" t="str">
        <x:v>Electronics</x:v>
      </x:c>
      <x:c r="E161" t="str">
        <x:v>Consumer</x:v>
      </x:c>
      <x:c r="F161" t="str">
        <x:v>Partner</x:v>
      </x:c>
      <x:c r="G161" t="n">
        <x:v>7</x:v>
      </x:c>
      <x:c r="H161" t="n">
        <x:v>462</x:v>
      </x:c>
      <x:c r="I161" t="n">
        <x:v>0.01</x:v>
      </x:c>
      <x:c r="J161" t="n">
        <x:v>3201.66</x:v>
      </x:c>
      <x:c r="K161" t="n">
        <x:v>-338.17</x:v>
      </x:c>
      <x:c r="L161" t="str">
        <x:v>CUST-1046</x:v>
      </x:c>
    </x:row>
    <x:row r="162">
      <x:c r="A162" t="str">
        <x:v>ORD-0161</x:v>
      </x:c>
      <x:c r="B162" t="str">
        <x:v>2026-04-26</x:v>
      </x:c>
      <x:c r="C162" t="str">
        <x:v>North</x:v>
      </x:c>
      <x:c r="D162" t="str">
        <x:v>Office Supplies</x:v>
      </x:c>
      <x:c r="E162" t="str">
        <x:v>Corporate</x:v>
      </x:c>
      <x:c r="F162" t="str">
        <x:v>Online</x:v>
      </x:c>
      <x:c r="G162" t="n">
        <x:v>5</x:v>
      </x:c>
      <x:c r="H162" t="n">
        <x:v>85</x:v>
      </x:c>
      <x:c r="I162" t="n">
        <x:v>0.04</x:v>
      </x:c>
      <x:c r="J162" t="n">
        <x:v>408</x:v>
      </x:c>
      <x:c r="K162" t="n">
        <x:v>164.36</x:v>
      </x:c>
      <x:c r="L162" t="str">
        <x:v>CUST-1065</x:v>
      </x:c>
    </x:row>
    <x:row r="163">
      <x:c r="A163" t="str">
        <x:v>ORD-0162</x:v>
      </x:c>
      <x:c r="B163" t="str">
        <x:v>2026-04-29</x:v>
      </x:c>
      <x:c r="C163" t="str">
        <x:v>South</x:v>
      </x:c>
      <x:c r="D163" t="str">
        <x:v>Grocery</x:v>
      </x:c>
      <x:c r="E163" t="str">
        <x:v>Small Business</x:v>
      </x:c>
      <x:c r="F163" t="str">
        <x:v>Retail</x:v>
      </x:c>
      <x:c r="G163" t="n">
        <x:v>3</x:v>
      </x:c>
      <x:c r="H163" t="n">
        <x:v>41</x:v>
      </x:c>
      <x:c r="I163" t="n">
        <x:v>0.07</x:v>
      </x:c>
      <x:c r="J163" t="n">
        <x:v>114.39</x:v>
      </x:c>
      <x:c r="K163" t="n">
        <x:v>20.45</x:v>
      </x:c>
      <x:c r="L163" t="str">
        <x:v>CUST-1084</x:v>
      </x:c>
    </x:row>
    <x:row r="164">
      <x:c r="A164" t="str">
        <x:v>ORD-0163</x:v>
      </x:c>
      <x:c r="B164" t="str">
        <x:v>2026-05-02</x:v>
      </x:c>
      <x:c r="C164" t="str">
        <x:v>East</x:v>
      </x:c>
      <x:c r="D164" t="str">
        <x:v>Furniture</x:v>
      </x:c>
      <x:c r="E164" t="str">
        <x:v>Consumer</x:v>
      </x:c>
      <x:c r="F164" t="str">
        <x:v>Partner</x:v>
      </x:c>
      <x:c r="G164" t="n">
        <x:v>1</x:v>
      </x:c>
      <x:c r="H164" t="n">
        <x:v>322</x:v>
      </x:c>
      <x:c r="I164" t="n">
        <x:v>0.1</x:v>
      </x:c>
      <x:c r="J164" t="n">
        <x:v>289.8</x:v>
      </x:c>
      <x:c r="K164" t="n">
        <x:v>60.25</x:v>
      </x:c>
      <x:c r="L164" t="str">
        <x:v>CUST-1018</x:v>
      </x:c>
    </x:row>
    <x:row r="165">
      <x:c r="A165" t="str">
        <x:v>ORD-0164</x:v>
      </x:c>
      <x:c r="B165" t="str">
        <x:v>2026-05-05</x:v>
      </x:c>
      <x:c r="C165" t="str">
        <x:v>West</x:v>
      </x:c>
      <x:c r="D165" t="str">
        <x:v>Home</x:v>
      </x:c>
      <x:c r="E165" t="str">
        <x:v>Corporate</x:v>
      </x:c>
      <x:c r="F165" t="str">
        <x:v>Online</x:v>
      </x:c>
      <x:c r="G165" t="n">
        <x:v>8</x:v>
      </x:c>
      <x:c r="H165" t="n">
        <x:v>158</x:v>
      </x:c>
      <x:c r="I165" t="n">
        <x:v>0.13</x:v>
      </x:c>
      <x:c r="J165" t="n">
        <x:v>1099.68</x:v>
      </x:c>
      <x:c r="K165" t="n">
        <x:v>421.88</x:v>
      </x:c>
      <x:c r="L165" t="str">
        <x:v>CUST-1037</x:v>
      </x:c>
    </x:row>
    <x:row r="166">
      <x:c r="A166" t="str">
        <x:v>ORD-0165</x:v>
      </x:c>
      <x:c r="B166" t="str">
        <x:v>2026-05-08</x:v>
      </x:c>
      <x:c r="C166" t="str">
        <x:v>North</x:v>
      </x:c>
      <x:c r="D166" t="str">
        <x:v>Electronics</x:v>
      </x:c>
      <x:c r="E166" t="str">
        <x:v>Small Business</x:v>
      </x:c>
      <x:c r="F166" t="str">
        <x:v>Retail</x:v>
      </x:c>
      <x:c r="G166" t="n">
        <x:v>6</x:v>
      </x:c>
      <x:c r="H166" t="n">
        <x:v>444</x:v>
      </x:c>
      <x:c r="I166" t="n">
        <x:v>0.16</x:v>
      </x:c>
      <x:c r="J166" t="n">
        <x:v>2237.76</x:v>
      </x:c>
      <x:c r="K166" t="n">
        <x:v>709.08</x:v>
      </x:c>
      <x:c r="L166" t="str">
        <x:v>CUST-1056</x:v>
      </x:c>
    </x:row>
    <x:row r="167">
      <x:c r="A167" t="str">
        <x:v>ORD-0166</x:v>
      </x:c>
      <x:c r="B167" t="str">
        <x:v>2026-05-11</x:v>
      </x:c>
      <x:c r="C167" t="str">
        <x:v>South</x:v>
      </x:c>
      <x:c r="D167" t="str">
        <x:v>Office Supplies</x:v>
      </x:c>
      <x:c r="E167" t="str">
        <x:v>Consumer</x:v>
      </x:c>
      <x:c r="F167" t="str">
        <x:v>Online</x:v>
      </x:c>
      <x:c r="G167" t="n">
        <x:v>4</x:v>
      </x:c>
      <x:c r="H167" t="n">
        <x:v>115</x:v>
      </x:c>
      <x:c r="I167" t="n">
        <x:v>0.19</x:v>
      </x:c>
      <x:c r="J167" t="n">
        <x:v>372.6</x:v>
      </x:c>
      <x:c r="K167" t="n">
        <x:v>115.96</x:v>
      </x:c>
      <x:c r="L167" t="str">
        <x:v>CUST-1075</x:v>
      </x:c>
    </x:row>
    <x:row r="168">
      <x:c r="A168" t="str">
        <x:v>ORD-0167</x:v>
      </x:c>
      <x:c r="B168" t="str">
        <x:v>2026-05-14</x:v>
      </x:c>
      <x:c r="C168" t="str">
        <x:v>East</x:v>
      </x:c>
      <x:c r="D168" t="str">
        <x:v>Grocery</x:v>
      </x:c>
      <x:c r="E168" t="str">
        <x:v>Corporate</x:v>
      </x:c>
      <x:c r="F168" t="str">
        <x:v>Retail</x:v>
      </x:c>
      <x:c r="G168" t="n">
        <x:v>2</x:v>
      </x:c>
      <x:c r="H168" t="n">
        <x:v>71</x:v>
      </x:c>
      <x:c r="I168" t="n">
        <x:v>0.22</x:v>
      </x:c>
      <x:c r="J168" t="n">
        <x:v>110.76</x:v>
      </x:c>
      <x:c r="K168" t="n">
        <x:v>9.61</x:v>
      </x:c>
      <x:c r="L168" t="str">
        <x:v>CUST-1009</x:v>
      </x:c>
    </x:row>
    <x:row r="169">
      <x:c r="A169" t="str">
        <x:v>ORD-0168</x:v>
      </x:c>
      <x:c r="B169" t="str">
        <x:v>2026-05-17</x:v>
      </x:c>
      <x:c r="C169" t="str">
        <x:v>West</x:v>
      </x:c>
      <x:c r="D169" t="str">
        <x:v>Furniture</x:v>
      </x:c>
      <x:c r="E169" t="str">
        <x:v>Small Business</x:v>
      </x:c>
      <x:c r="F169" t="str">
        <x:v>Partner</x:v>
      </x:c>
      <x:c r="G169" t="n">
        <x:v>9</x:v>
      </x:c>
      <x:c r="H169" t="n">
        <x:v>352</x:v>
      </x:c>
      <x:c r="I169" t="n">
        <x:v>0.25</x:v>
      </x:c>
      <x:c r="J169" t="n">
        <x:v>2376</x:v>
      </x:c>
      <x:c r="K169" t="n">
        <x:v>409.68</x:v>
      </x:c>
      <x:c r="L169" t="str">
        <x:v>CUST-1028</x:v>
      </x:c>
    </x:row>
    <x:row r="170">
      <x:c r="A170" t="str">
        <x:v>ORD-0169</x:v>
      </x:c>
      <x:c r="B170" t="str">
        <x:v>2026-05-20</x:v>
      </x:c>
      <x:c r="C170" t="str">
        <x:v>North</x:v>
      </x:c>
      <x:c r="D170" t="str">
        <x:v>Home</x:v>
      </x:c>
      <x:c r="E170" t="str">
        <x:v>Consumer</x:v>
      </x:c>
      <x:c r="F170" t="str">
        <x:v>Online</x:v>
      </x:c>
      <x:c r="G170" t="n">
        <x:v>7</x:v>
      </x:c>
      <x:c r="H170" t="n">
        <x:v>140</x:v>
      </x:c>
      <x:c r="I170" t="n">
        <x:v>0</x:v>
      </x:c>
      <x:c r="J170" t="n">
        <x:v>980</x:v>
      </x:c>
      <x:c r="K170" t="n">
        <x:v>375.2</x:v>
      </x:c>
      <x:c r="L170" t="str">
        <x:v>CUST-1047</x:v>
      </x:c>
    </x:row>
    <x:row r="171">
      <x:c r="A171" t="str">
        <x:v>ORD-0170</x:v>
      </x:c>
      <x:c r="B171" t="str">
        <x:v>2026-05-23</x:v>
      </x:c>
      <x:c r="C171" t="str">
        <x:v>South</x:v>
      </x:c>
      <x:c r="D171" t="str">
        <x:v>Furniture</x:v>
      </x:c>
      <x:c r="E171" t="str">
        <x:v>Corporate</x:v>
      </x:c>
      <x:c r="F171" t="str">
        <x:v>Retail</x:v>
      </x:c>
      <x:c r="G171" t="n">
        <x:v>5</x:v>
      </x:c>
      <x:c r="H171" t="n">
        <x:v>316</x:v>
      </x:c>
      <x:c r="I171" t="n">
        <x:v>0.03</x:v>
      </x:c>
      <x:c r="J171" t="n">
        <x:v>1532.6</x:v>
      </x:c>
      <x:c r="K171" t="n">
        <x:v>406.8</x:v>
      </x:c>
      <x:c r="L171" t="str">
        <x:v>CUST-1066</x:v>
      </x:c>
    </x:row>
    <x:row r="172">
      <x:c r="A172" t="str">
        <x:v>ORD-0171</x:v>
      </x:c>
      <x:c r="B172" t="str">
        <x:v>2026-05-26</x:v>
      </x:c>
      <x:c r="C172" t="str">
        <x:v>East</x:v>
      </x:c>
      <x:c r="D172" t="str">
        <x:v>Home</x:v>
      </x:c>
      <x:c r="E172" t="str">
        <x:v>Consumer</x:v>
      </x:c>
      <x:c r="F172" t="str">
        <x:v>Partner</x:v>
      </x:c>
      <x:c r="G172" t="n">
        <x:v>3</x:v>
      </x:c>
      <x:c r="H172" t="n">
        <x:v>152</x:v>
      </x:c>
      <x:c r="I172" t="n">
        <x:v>0.06</x:v>
      </x:c>
      <x:c r="J172" t="n">
        <x:v>428.64</x:v>
      </x:c>
      <x:c r="K172" t="n">
        <x:v>149.17</x:v>
      </x:c>
      <x:c r="L172" t="str">
        <x:v>CUST-1000</x:v>
      </x:c>
    </x:row>
    <x:row r="173">
      <x:c r="A173" t="str">
        <x:v>ORD-0172</x:v>
      </x:c>
      <x:c r="B173" t="str">
        <x:v>2026-05-29</x:v>
      </x:c>
      <x:c r="C173" t="str">
        <x:v>West</x:v>
      </x:c>
      <x:c r="D173" t="str">
        <x:v>Electronics</x:v>
      </x:c>
      <x:c r="E173" t="str">
        <x:v>Corporate</x:v>
      </x:c>
      <x:c r="F173" t="str">
        <x:v>Online</x:v>
      </x:c>
      <x:c r="G173" t="n">
        <x:v>1</x:v>
      </x:c>
      <x:c r="H173" t="n">
        <x:v>438</x:v>
      </x:c>
      <x:c r="I173" t="n">
        <x:v>0.09</x:v>
      </x:c>
      <x:c r="J173" t="n">
        <x:v>398.58</x:v>
      </x:c>
      <x:c r="K173" t="n">
        <x:v>120.55</x:v>
      </x:c>
      <x:c r="L173" t="str">
        <x:v>CUST-1019</x:v>
      </x:c>
    </x:row>
    <x:row r="174">
      <x:c r="A174" t="str">
        <x:v>ORD-0173</x:v>
      </x:c>
      <x:c r="B174" t="str">
        <x:v>2026-06-01</x:v>
      </x:c>
      <x:c r="C174" t="str">
        <x:v>North</x:v>
      </x:c>
      <x:c r="D174" t="str">
        <x:v>Office Supplies</x:v>
      </x:c>
      <x:c r="E174" t="str">
        <x:v>Small Business</x:v>
      </x:c>
      <x:c r="F174" t="str">
        <x:v>Retail</x:v>
      </x:c>
      <x:c r="G174" t="n">
        <x:v>8</x:v>
      </x:c>
      <x:c r="H174" t="n">
        <x:v>109</x:v>
      </x:c>
      <x:c r="I174" t="n">
        <x:v>0.12</x:v>
      </x:c>
      <x:c r="J174" t="n">
        <x:v>767.36</x:v>
      </x:c>
      <x:c r="K174" t="n">
        <x:v>315.29</x:v>
      </x:c>
      <x:c r="L174" t="str">
        <x:v>CUST-1038</x:v>
      </x:c>
    </x:row>
    <x:row r="175">
      <x:c r="A175" t="str">
        <x:v>ORD-0174</x:v>
      </x:c>
      <x:c r="B175" t="str">
        <x:v>2026-06-04</x:v>
      </x:c>
      <x:c r="C175" t="str">
        <x:v>South</x:v>
      </x:c>
      <x:c r="D175" t="str">
        <x:v>Grocery</x:v>
      </x:c>
      <x:c r="E175" t="str">
        <x:v>Consumer</x:v>
      </x:c>
      <x:c r="F175" t="str">
        <x:v>Partner</x:v>
      </x:c>
      <x:c r="G175" t="n">
        <x:v>6</x:v>
      </x:c>
      <x:c r="H175" t="n">
        <x:v>65</x:v>
      </x:c>
      <x:c r="I175" t="n">
        <x:v>0.15</x:v>
      </x:c>
      <x:c r="J175" t="n">
        <x:v>331.5</x:v>
      </x:c>
      <x:c r="K175" t="n">
        <x:v>61.56</x:v>
      </x:c>
      <x:c r="L175" t="str">
        <x:v>CUST-1057</x:v>
      </x:c>
    </x:row>
    <x:row r="176">
      <x:c r="A176" t="str">
        <x:v>ORD-0175</x:v>
      </x:c>
      <x:c r="B176" t="str">
        <x:v>2026-06-07</x:v>
      </x:c>
      <x:c r="C176" t="str">
        <x:v>East</x:v>
      </x:c>
      <x:c r="D176" t="str">
        <x:v>Furniture</x:v>
      </x:c>
      <x:c r="E176" t="str">
        <x:v>Corporate</x:v>
      </x:c>
      <x:c r="F176" t="str">
        <x:v>Online</x:v>
      </x:c>
      <x:c r="G176" t="n">
        <x:v>4</x:v>
      </x:c>
      <x:c r="H176" t="n">
        <x:v>346</x:v>
      </x:c>
      <x:c r="I176" t="n">
        <x:v>0.18</x:v>
      </x:c>
      <x:c r="J176" t="n">
        <x:v>1134.88</x:v>
      </x:c>
      <x:c r="K176" t="n">
        <x:v>299.42</x:v>
      </x:c>
      <x:c r="L176" t="str">
        <x:v>CUST-1076</x:v>
      </x:c>
    </x:row>
    <x:row r="177">
      <x:c r="A177" t="str">
        <x:v>ORD-0176</x:v>
      </x:c>
      <x:c r="B177" t="str">
        <x:v>2026-06-10</x:v>
      </x:c>
      <x:c r="C177" t="str">
        <x:v>West</x:v>
      </x:c>
      <x:c r="D177" t="str">
        <x:v>Home</x:v>
      </x:c>
      <x:c r="E177" t="str">
        <x:v>Small Business</x:v>
      </x:c>
      <x:c r="F177" t="str">
        <x:v>Retail</x:v>
      </x:c>
      <x:c r="G177" t="n">
        <x:v>2</x:v>
      </x:c>
      <x:c r="H177" t="n">
        <x:v>182</x:v>
      </x:c>
      <x:c r="I177" t="n">
        <x:v>0.21</x:v>
      </x:c>
      <x:c r="J177" t="n">
        <x:v>287.56</x:v>
      </x:c>
      <x:c r="K177" t="n">
        <x:v>79.27</x:v>
      </x:c>
      <x:c r="L177" t="str">
        <x:v>CUST-1010</x:v>
      </x:c>
    </x:row>
    <x:row r="178">
      <x:c r="A178" t="str">
        <x:v>ORD-0177</x:v>
      </x:c>
      <x:c r="B178" t="str">
        <x:v>2026-06-13</x:v>
      </x:c>
      <x:c r="C178" t="str">
        <x:v>North</x:v>
      </x:c>
      <x:c r="D178" t="str">
        <x:v>Electronics</x:v>
      </x:c>
      <x:c r="E178" t="str">
        <x:v>Consumer</x:v>
      </x:c>
      <x:c r="F178" t="str">
        <x:v>Online</x:v>
      </x:c>
      <x:c r="G178" t="n">
        <x:v>9</x:v>
      </x:c>
      <x:c r="H178" t="n">
        <x:v>420</x:v>
      </x:c>
      <x:c r="I178" t="n">
        <x:v>0.24</x:v>
      </x:c>
      <x:c r="J178" t="n">
        <x:v>2872.8</x:v>
      </x:c>
      <x:c r="K178" t="n">
        <x:v>653.74</x:v>
      </x:c>
      <x:c r="L178" t="str">
        <x:v>CUST-1029</x:v>
      </x:c>
    </x:row>
    <x:row r="179">
      <x:c r="A179" t="str">
        <x:v>ORD-0178</x:v>
      </x:c>
      <x:c r="B179" t="str">
        <x:v>2026-06-16</x:v>
      </x:c>
      <x:c r="C179" t="str">
        <x:v>South</x:v>
      </x:c>
      <x:c r="D179" t="str">
        <x:v>Office Supplies</x:v>
      </x:c>
      <x:c r="E179" t="str">
        <x:v>Corporate</x:v>
      </x:c>
      <x:c r="F179" t="str">
        <x:v>Retail</x:v>
      </x:c>
      <x:c r="G179" t="n">
        <x:v>7</x:v>
      </x:c>
      <x:c r="H179" t="n">
        <x:v>91</x:v>
      </x:c>
      <x:c r="I179" t="n">
        <x:v>0.27</x:v>
      </x:c>
      <x:c r="J179" t="n">
        <x:v>465.01</x:v>
      </x:c>
      <x:c r="K179" t="n">
        <x:v>146.45</x:v>
      </x:c>
      <x:c r="L179" t="str">
        <x:v>CUST-1048</x:v>
      </x:c>
    </x:row>
    <x:row r="180">
      <x:c r="A180" t="str">
        <x:v>ORD-0179</x:v>
      </x:c>
      <x:c r="B180" t="str">
        <x:v>2026-06-19</x:v>
      </x:c>
      <x:c r="C180" t="str">
        <x:v>East</x:v>
      </x:c>
      <x:c r="D180" t="str">
        <x:v>Grocery</x:v>
      </x:c>
      <x:c r="E180" t="str">
        <x:v>Small Business</x:v>
      </x:c>
      <x:c r="F180" t="str">
        <x:v>Partner</x:v>
      </x:c>
      <x:c r="G180" t="n">
        <x:v>5</x:v>
      </x:c>
      <x:c r="H180" t="n">
        <x:v>47</x:v>
      </x:c>
      <x:c r="I180" t="n">
        <x:v>0.02</x:v>
      </x:c>
      <x:c r="J180" t="n">
        <x:v>230.3</x:v>
      </x:c>
      <x:c r="K180" t="n">
        <x:v>37.27</x:v>
      </x:c>
      <x:c r="L180" t="str">
        <x:v>CUST-1067</x:v>
      </x:c>
    </x:row>
    <x:row r="181">
      <x:c r="A181" t="str">
        <x:v>ORD-0180</x:v>
      </x:c>
      <x:c r="B181" t="str">
        <x:v>2026-06-22</x:v>
      </x:c>
      <x:c r="C181" t="str">
        <x:v>West</x:v>
      </x:c>
      <x:c r="D181" t="str">
        <x:v>Furniture</x:v>
      </x:c>
      <x:c r="E181" t="str">
        <x:v>Consumer</x:v>
      </x:c>
      <x:c r="F181" t="str">
        <x:v>Online</x:v>
      </x:c>
      <x:c r="G181" t="n">
        <x:v>3</x:v>
      </x:c>
      <x:c r="H181" t="n">
        <x:v>328</x:v>
      </x:c>
      <x:c r="I181" t="n">
        <x:v>0.05</x:v>
      </x:c>
      <x:c r="J181" t="n">
        <x:v>934.8</x:v>
      </x:c>
      <x:c r="K181" t="n">
        <x:v>245.4</x:v>
      </x:c>
      <x:c r="L181" t="str">
        <x:v>CUST-1001</x:v>
      </x:c>
    </x:row>
    <x:row r="182">
      <x:c r="A182" t="str">
        <x:v>ORD-0181</x:v>
      </x:c>
      <x:c r="B182" t="str">
        <x:v>2026-06-25</x:v>
      </x:c>
      <x:c r="C182" t="str">
        <x:v>North</x:v>
      </x:c>
      <x:c r="D182" t="str">
        <x:v>Home</x:v>
      </x:c>
      <x:c r="E182" t="str">
        <x:v>Corporate</x:v>
      </x:c>
      <x:c r="F182" t="str">
        <x:v>Retail</x:v>
      </x:c>
      <x:c r="G182" t="n">
        <x:v>1</x:v>
      </x:c>
      <x:c r="H182" t="n">
        <x:v>164</x:v>
      </x:c>
      <x:c r="I182" t="n">
        <x:v>0.08</x:v>
      </x:c>
      <x:c r="J182" t="n">
        <x:v>150.88</x:v>
      </x:c>
      <x:c r="K182" t="n">
        <x:v>51.84</x:v>
      </x:c>
      <x:c r="L182" t="str">
        <x:v>CUST-1020</x:v>
      </x:c>
    </x:row>
    <x:row r="183">
      <x:c r="A183" t="str">
        <x:v>ORD-0182</x:v>
      </x:c>
      <x:c r="B183" t="str">
        <x:v>2026-06-28</x:v>
      </x:c>
      <x:c r="C183" t="str">
        <x:v>South</x:v>
      </x:c>
      <x:c r="D183" t="str">
        <x:v>Electronics</x:v>
      </x:c>
      <x:c r="E183" t="str">
        <x:v>Small Business</x:v>
      </x:c>
      <x:c r="F183" t="str">
        <x:v>Partner</x:v>
      </x:c>
      <x:c r="G183" t="n">
        <x:v>8</x:v>
      </x:c>
      <x:c r="H183" t="n">
        <x:v>450</x:v>
      </x:c>
      <x:c r="I183" t="n">
        <x:v>0.11</x:v>
      </x:c>
      <x:c r="J183" t="n">
        <x:v>3204</x:v>
      </x:c>
      <x:c r="K183" t="n">
        <x:v>1007.28</x:v>
      </x:c>
      <x:c r="L183" t="str">
        <x:v>CUST-1039</x:v>
      </x:c>
    </x:row>
    <x:row r="184">
      <x:c r="A184" t="str">
        <x:v>ORD-0183</x:v>
      </x:c>
      <x:c r="B184" t="str">
        <x:v>2026-07-01</x:v>
      </x:c>
      <x:c r="C184" t="str">
        <x:v>East</x:v>
      </x:c>
      <x:c r="D184" t="str">
        <x:v>Home</x:v>
      </x:c>
      <x:c r="E184" t="str">
        <x:v>Consumer</x:v>
      </x:c>
      <x:c r="F184" t="str">
        <x:v>Online</x:v>
      </x:c>
      <x:c r="G184" t="n">
        <x:v>6</x:v>
      </x:c>
      <x:c r="H184" t="n">
        <x:v>176</x:v>
      </x:c>
      <x:c r="I184" t="n">
        <x:v>0.14</x:v>
      </x:c>
      <x:c r="J184" t="n">
        <x:v>908.16</x:v>
      </x:c>
      <x:c r="K184" t="n">
        <x:v>347.18</x:v>
      </x:c>
      <x:c r="L184" t="str">
        <x:v>CUST-1058</x:v>
      </x:c>
    </x:row>
    <x:row r="185">
      <x:c r="A185" t="str">
        <x:v>ORD-0184</x:v>
      </x:c>
      <x:c r="B185" t="str">
        <x:v>2026-07-04</x:v>
      </x:c>
      <x:c r="C185" t="str">
        <x:v>West</x:v>
      </x:c>
      <x:c r="D185" t="str">
        <x:v>Electronics</x:v>
      </x:c>
      <x:c r="E185" t="str">
        <x:v>Corporate</x:v>
      </x:c>
      <x:c r="F185" t="str">
        <x:v>Retail</x:v>
      </x:c>
      <x:c r="G185" t="n">
        <x:v>4</x:v>
      </x:c>
      <x:c r="H185" t="n">
        <x:v>462</x:v>
      </x:c>
      <x:c r="I185" t="n">
        <x:v>0.17</x:v>
      </x:c>
      <x:c r="J185" t="n">
        <x:v>1533.84</x:v>
      </x:c>
      <x:c r="K185" t="n">
        <x:v>483.83</x:v>
      </x:c>
      <x:c r="L185" t="str">
        <x:v>CUST-1077</x:v>
      </x:c>
    </x:row>
    <x:row r="186">
      <x:c r="A186" t="str">
        <x:v>ORD-0185</x:v>
      </x:c>
      <x:c r="B186" t="str">
        <x:v>2026-07-07</x:v>
      </x:c>
      <x:c r="C186" t="str">
        <x:v>North</x:v>
      </x:c>
      <x:c r="D186" t="str">
        <x:v>Office Supplies</x:v>
      </x:c>
      <x:c r="E186" t="str">
        <x:v>Small Business</x:v>
      </x:c>
      <x:c r="F186" t="str">
        <x:v>Partner</x:v>
      </x:c>
      <x:c r="G186" t="n">
        <x:v>2</x:v>
      </x:c>
      <x:c r="H186" t="n">
        <x:v>85</x:v>
      </x:c>
      <x:c r="I186" t="n">
        <x:v>0.2</x:v>
      </x:c>
      <x:c r="J186" t="n">
        <x:v>136</x:v>
      </x:c>
      <x:c r="K186" t="n">
        <x:v>26.88</x:v>
      </x:c>
      <x:c r="L186" t="str">
        <x:v>CUST-1011</x:v>
      </x:c>
    </x:row>
    <x:row r="187">
      <x:c r="A187" t="str">
        <x:v>ORD-0186</x:v>
      </x:c>
      <x:c r="B187" t="str">
        <x:v>2026-07-10</x:v>
      </x:c>
      <x:c r="C187" t="str">
        <x:v>South</x:v>
      </x:c>
      <x:c r="D187" t="str">
        <x:v>Grocery</x:v>
      </x:c>
      <x:c r="E187" t="str">
        <x:v>Consumer</x:v>
      </x:c>
      <x:c r="F187" t="str">
        <x:v>Online</x:v>
      </x:c>
      <x:c r="G187" t="n">
        <x:v>9</x:v>
      </x:c>
      <x:c r="H187" t="n">
        <x:v>41</x:v>
      </x:c>
      <x:c r="I187" t="n">
        <x:v>0.23</x:v>
      </x:c>
      <x:c r="J187" t="n">
        <x:v>284.13</x:v>
      </x:c>
      <x:c r="K187" t="n">
        <x:v>35.62</x:v>
      </x:c>
      <x:c r="L187" t="str">
        <x:v>CUST-1030</x:v>
      </x:c>
    </x:row>
    <x:row r="188">
      <x:c r="A188" t="str">
        <x:v>ORD-0187</x:v>
      </x:c>
      <x:c r="B188" t="str">
        <x:v>2026-07-13</x:v>
      </x:c>
      <x:c r="C188" t="str">
        <x:v>East</x:v>
      </x:c>
      <x:c r="D188" t="str">
        <x:v>Furniture</x:v>
      </x:c>
      <x:c r="E188" t="str">
        <x:v>Corporate</x:v>
      </x:c>
      <x:c r="F188" t="str">
        <x:v>Retail</x:v>
      </x:c>
      <x:c r="G188" t="n">
        <x:v>7</x:v>
      </x:c>
      <x:c r="H188" t="n">
        <x:v>322</x:v>
      </x:c>
      <x:c r="I188" t="n">
        <x:v>0.26</x:v>
      </x:c>
      <x:c r="J188" t="n">
        <x:v>1667.96</x:v>
      </x:c>
      <x:c r="K188" t="n">
        <x:v>293.23</x:v>
      </x:c>
      <x:c r="L188" t="str">
        <x:v>CUST-1049</x:v>
      </x:c>
    </x:row>
    <x:row r="189">
      <x:c r="A189" t="str">
        <x:v>ORD-0188</x:v>
      </x:c>
      <x:c r="B189" t="str">
        <x:v>2026-07-16</x:v>
      </x:c>
      <x:c r="C189" t="str">
        <x:v>West</x:v>
      </x:c>
      <x:c r="D189" t="str">
        <x:v>Home</x:v>
      </x:c>
      <x:c r="E189" t="str">
        <x:v>Consumer</x:v>
      </x:c>
      <x:c r="F189" t="str">
        <x:v>Online</x:v>
      </x:c>
      <x:c r="G189" t="n">
        <x:v>5</x:v>
      </x:c>
      <x:c r="H189" t="n">
        <x:v>158</x:v>
      </x:c>
      <x:c r="I189" t="n">
        <x:v>0.01</x:v>
      </x:c>
      <x:c r="J189" t="n">
        <x:v>782.1</x:v>
      </x:c>
      <x:c r="K189" t="n">
        <x:v>298.02</x:v>
      </x:c>
      <x:c r="L189" t="str">
        <x:v>CUST-1068</x:v>
      </x:c>
    </x:row>
    <x:row r="190">
      <x:c r="A190" t="str">
        <x:v>ORD-0189</x:v>
      </x:c>
      <x:c r="B190" t="str">
        <x:v>2026-07-19</x:v>
      </x:c>
      <x:c r="C190" t="str">
        <x:v>North</x:v>
      </x:c>
      <x:c r="D190" t="str">
        <x:v>Electronics</x:v>
      </x:c>
      <x:c r="E190" t="str">
        <x:v>Corporate</x:v>
      </x:c>
      <x:c r="F190" t="str">
        <x:v>Retail</x:v>
      </x:c>
      <x:c r="G190" t="n">
        <x:v>3</x:v>
      </x:c>
      <x:c r="H190" t="n">
        <x:v>444</x:v>
      </x:c>
      <x:c r="I190" t="n">
        <x:v>0.04</x:v>
      </x:c>
      <x:c r="J190" t="n">
        <x:v>1278.72</x:v>
      </x:c>
      <x:c r="K190" t="n">
        <x:v>402.19</x:v>
      </x:c>
      <x:c r="L190" t="str">
        <x:v>CUST-1002</x:v>
      </x:c>
    </x:row>
    <x:row r="191">
      <x:c r="A191" t="str">
        <x:v>ORD-0190</x:v>
      </x:c>
      <x:c r="B191" t="str">
        <x:v>2026-07-22</x:v>
      </x:c>
      <x:c r="C191" t="str">
        <x:v>South</x:v>
      </x:c>
      <x:c r="D191" t="str">
        <x:v>Office Supplies</x:v>
      </x:c>
      <x:c r="E191" t="str">
        <x:v>Small Business</x:v>
      </x:c>
      <x:c r="F191" t="str">
        <x:v>Partner</x:v>
      </x:c>
      <x:c r="G191" t="n">
        <x:v>1</x:v>
      </x:c>
      <x:c r="H191" t="n">
        <x:v>115</x:v>
      </x:c>
      <x:c r="I191" t="n">
        <x:v>0.07</x:v>
      </x:c>
      <x:c r="J191" t="n">
        <x:v>106.95</x:v>
      </x:c>
      <x:c r="K191" t="n">
        <x:v>26.92</x:v>
      </x:c>
      <x:c r="L191" t="str">
        <x:v>CUST-1021</x:v>
      </x:c>
    </x:row>
    <x:row r="192">
      <x:c r="A192" t="str">
        <x:v>ORD-0191</x:v>
      </x:c>
      <x:c r="B192" t="str">
        <x:v>2026-07-25</x:v>
      </x:c>
      <x:c r="C192" t="str">
        <x:v>East</x:v>
      </x:c>
      <x:c r="D192" t="str">
        <x:v>Grocery</x:v>
      </x:c>
      <x:c r="E192" t="str">
        <x:v>Consumer</x:v>
      </x:c>
      <x:c r="F192" t="str">
        <x:v>Online</x:v>
      </x:c>
      <x:c r="G192" t="n">
        <x:v>8</x:v>
      </x:c>
      <x:c r="H192" t="n">
        <x:v>71</x:v>
      </x:c>
      <x:c r="I192" t="n">
        <x:v>0.1</x:v>
      </x:c>
      <x:c r="J192" t="n">
        <x:v>511.2</x:v>
      </x:c>
      <x:c r="K192" t="n">
        <x:v>115.69</x:v>
      </x:c>
      <x:c r="L192" t="str">
        <x:v>CUST-1040</x:v>
      </x:c>
    </x:row>
    <x:row r="193">
      <x:c r="A193" t="str">
        <x:v>ORD-0192</x:v>
      </x:c>
      <x:c r="B193" t="str">
        <x:v>2026-07-28</x:v>
      </x:c>
      <x:c r="C193" t="str">
        <x:v>West</x:v>
      </x:c>
      <x:c r="D193" t="str">
        <x:v>Furniture</x:v>
      </x:c>
      <x:c r="E193" t="str">
        <x:v>Corporate</x:v>
      </x:c>
      <x:c r="F193" t="str">
        <x:v>Retail</x:v>
      </x:c>
      <x:c r="G193" t="n">
        <x:v>6</x:v>
      </x:c>
      <x:c r="H193" t="n">
        <x:v>352</x:v>
      </x:c>
      <x:c r="I193" t="n">
        <x:v>0.13</x:v>
      </x:c>
      <x:c r="J193" t="n">
        <x:v>1837.44</x:v>
      </x:c>
      <x:c r="K193" t="n">
        <x:v>489.11</x:v>
      </x:c>
      <x:c r="L193" t="str">
        <x:v>CUST-1059</x:v>
      </x:c>
    </x:row>
    <x:row r="194">
      <x:c r="A194" t="str">
        <x:v>ORD-0193</x:v>
      </x:c>
      <x:c r="B194" t="str">
        <x:v>2026-07-31</x:v>
      </x:c>
      <x:c r="C194" t="str">
        <x:v>North</x:v>
      </x:c>
      <x:c r="D194" t="str">
        <x:v>Home</x:v>
      </x:c>
      <x:c r="E194" t="str">
        <x:v>Small Business</x:v>
      </x:c>
      <x:c r="F194" t="str">
        <x:v>Partner</x:v>
      </x:c>
      <x:c r="G194" t="n">
        <x:v>4</x:v>
      </x:c>
      <x:c r="H194" t="n">
        <x:v>140</x:v>
      </x:c>
      <x:c r="I194" t="n">
        <x:v>0.16</x:v>
      </x:c>
      <x:c r="J194" t="n">
        <x:v>470.4</x:v>
      </x:c>
      <x:c r="K194" t="n">
        <x:v>165.46</x:v>
      </x:c>
      <x:c r="L194" t="str">
        <x:v>CUST-1078</x:v>
      </x:c>
    </x:row>
    <x:row r="195">
      <x:c r="A195" t="str">
        <x:v>ORD-0194</x:v>
      </x:c>
      <x:c r="B195" t="str">
        <x:v>2026-08-03</x:v>
      </x:c>
      <x:c r="C195" t="str">
        <x:v>South</x:v>
      </x:c>
      <x:c r="D195" t="str">
        <x:v>Electronics</x:v>
      </x:c>
      <x:c r="E195" t="str">
        <x:v>Consumer</x:v>
      </x:c>
      <x:c r="F195" t="str">
        <x:v>Online</x:v>
      </x:c>
      <x:c r="G195" t="n">
        <x:v>2</x:v>
      </x:c>
      <x:c r="H195" t="n">
        <x:v>426</x:v>
      </x:c>
      <x:c r="I195" t="n">
        <x:v>0.19</x:v>
      </x:c>
      <x:c r="J195" t="n">
        <x:v>690.12</x:v>
      </x:c>
      <x:c r="K195" t="n">
        <x:v>151.73</x:v>
      </x:c>
      <x:c r="L195" t="str">
        <x:v>CUST-1012</x:v>
      </x:c>
    </x:row>
    <x:row r="196">
      <x:c r="A196" t="str">
        <x:v>ORD-0195</x:v>
      </x:c>
      <x:c r="B196" t="str">
        <x:v>2026-08-06</x:v>
      </x:c>
      <x:c r="C196" t="str">
        <x:v>East</x:v>
      </x:c>
      <x:c r="D196" t="str">
        <x:v>Office Supplies</x:v>
      </x:c>
      <x:c r="E196" t="str">
        <x:v>Corporate</x:v>
      </x:c>
      <x:c r="F196" t="str">
        <x:v>Retail</x:v>
      </x:c>
      <x:c r="G196" t="n">
        <x:v>9</x:v>
      </x:c>
      <x:c r="H196" t="n">
        <x:v>97</x:v>
      </x:c>
      <x:c r="I196" t="n">
        <x:v>0.22</x:v>
      </x:c>
      <x:c r="J196" t="n">
        <x:v>680.94</x:v>
      </x:c>
      <x:c r="K196" t="n">
        <x:v>217.71</x:v>
      </x:c>
      <x:c r="L196" t="str">
        <x:v>CUST-1031</x:v>
      </x:c>
    </x:row>
    <x:row r="197">
      <x:c r="A197" t="str">
        <x:v>ORD-0196</x:v>
      </x:c>
      <x:c r="B197" t="str">
        <x:v>2026-08-09</x:v>
      </x:c>
      <x:c r="C197" t="str">
        <x:v>West</x:v>
      </x:c>
      <x:c r="D197" t="str">
        <x:v>Electronics</x:v>
      </x:c>
      <x:c r="E197" t="str">
        <x:v>Small Business</x:v>
      </x:c>
      <x:c r="F197" t="str">
        <x:v>Partner</x:v>
      </x:c>
      <x:c r="G197" t="n">
        <x:v>7</x:v>
      </x:c>
      <x:c r="H197" t="n">
        <x:v>438</x:v>
      </x:c>
      <x:c r="I197" t="n">
        <x:v>0.25</x:v>
      </x:c>
      <x:c r="J197" t="n">
        <x:v>2299.5</x:v>
      </x:c>
      <x:c r="K197" t="n">
        <x:v>510.89</x:v>
      </x:c>
      <x:c r="L197" t="str">
        <x:v>CUST-1050</x:v>
      </x:c>
    </x:row>
    <x:row r="198">
      <x:c r="A198" t="str">
        <x:v>ORD-0197</x:v>
      </x:c>
      <x:c r="B198" t="str">
        <x:v>2026-08-12</x:v>
      </x:c>
      <x:c r="C198" t="str">
        <x:v>North</x:v>
      </x:c>
      <x:c r="D198" t="str">
        <x:v>Office Supplies</x:v>
      </x:c>
      <x:c r="E198" t="str">
        <x:v>Consumer</x:v>
      </x:c>
      <x:c r="F198" t="str">
        <x:v>Online</x:v>
      </x:c>
      <x:c r="G198" t="n">
        <x:v>5</x:v>
      </x:c>
      <x:c r="H198" t="n">
        <x:v>109</x:v>
      </x:c>
      <x:c r="I198" t="n">
        <x:v>0</x:v>
      </x:c>
      <x:c r="J198" t="n">
        <x:v>545</x:v>
      </x:c>
      <x:c r="K198" t="n">
        <x:v>221.9</x:v>
      </x:c>
      <x:c r="L198" t="str">
        <x:v>CUST-1069</x:v>
      </x:c>
    </x:row>
    <x:row r="199">
      <x:c r="A199" t="str">
        <x:v>ORD-0198</x:v>
      </x:c>
      <x:c r="B199" t="str">
        <x:v>2026-08-15</x:v>
      </x:c>
      <x:c r="C199" t="str">
        <x:v>South</x:v>
      </x:c>
      <x:c r="D199" t="str">
        <x:v>Grocery</x:v>
      </x:c>
      <x:c r="E199" t="str">
        <x:v>Corporate</x:v>
      </x:c>
      <x:c r="F199" t="str">
        <x:v>Retail</x:v>
      </x:c>
      <x:c r="G199" t="n">
        <x:v>3</x:v>
      </x:c>
      <x:c r="H199" t="n">
        <x:v>65</x:v>
      </x:c>
      <x:c r="I199" t="n">
        <x:v>0.03</x:v>
      </x:c>
      <x:c r="J199" t="n">
        <x:v>189.15</x:v>
      </x:c>
      <x:c r="K199" t="n">
        <x:v>38.4</x:v>
      </x:c>
      <x:c r="L199" t="str">
        <x:v>CUST-1003</x:v>
      </x:c>
    </x:row>
    <x:row r="200">
      <x:c r="A200" t="str">
        <x:v>ORD-0199</x:v>
      </x:c>
      <x:c r="B200" t="str">
        <x:v>2026-08-18</x:v>
      </x:c>
      <x:c r="C200" t="str">
        <x:v>East</x:v>
      </x:c>
      <x:c r="D200" t="str">
        <x:v>Furniture</x:v>
      </x:c>
      <x:c r="E200" t="str">
        <x:v>Small Business</x:v>
      </x:c>
      <x:c r="F200" t="str">
        <x:v>Online</x:v>
      </x:c>
      <x:c r="G200" t="n">
        <x:v>1</x:v>
      </x:c>
      <x:c r="H200" t="n">
        <x:v>346</x:v>
      </x:c>
      <x:c r="I200" t="n">
        <x:v>0.06</x:v>
      </x:c>
      <x:c r="J200" t="n">
        <x:v>325.24</x:v>
      </x:c>
      <x:c r="K200" t="n">
        <x:v>80.81</x:v>
      </x:c>
      <x:c r="L200" t="str">
        <x:v>CUST-1022</x:v>
      </x:c>
    </x:row>
    <x:row r="201">
      <x:c r="A201" t="str">
        <x:v>ORD-0200</x:v>
      </x:c>
      <x:c r="B201" t="str">
        <x:v>2026-08-21</x:v>
      </x:c>
      <x:c r="C201" t="str">
        <x:v>West</x:v>
      </x:c>
      <x:c r="D201" t="str">
        <x:v>Home</x:v>
      </x:c>
      <x:c r="E201" t="str">
        <x:v>Consumer</x:v>
      </x:c>
      <x:c r="F201" t="str">
        <x:v>Retail</x:v>
      </x:c>
      <x:c r="G201" t="n">
        <x:v>8</x:v>
      </x:c>
      <x:c r="H201" t="n">
        <x:v>182</x:v>
      </x:c>
      <x:c r="I201" t="n">
        <x:v>0.09</x:v>
      </x:c>
      <x:c r="J201" t="n">
        <x:v>1324.96</x:v>
      </x:c>
      <x:c r="K201" t="n">
        <x:v>509.73</x:v>
      </x:c>
      <x:c r="L201" t="str">
        <x:v>CUST-1041</x:v>
      </x:c>
    </x:row>
    <x:row r="202">
      <x:c r="A202" t="str">
        <x:v>ORD-0201</x:v>
      </x:c>
      <x:c r="B202" t="str">
        <x:v>2026-08-24</x:v>
      </x:c>
      <x:c r="C202" t="str">
        <x:v>North</x:v>
      </x:c>
      <x:c r="D202" t="str">
        <x:v>Electronics</x:v>
      </x:c>
      <x:c r="E202" t="str">
        <x:v>Corporate</x:v>
      </x:c>
      <x:c r="F202" t="str">
        <x:v>Partner</x:v>
      </x:c>
      <x:c r="G202" t="n">
        <x:v>6</x:v>
      </x:c>
      <x:c r="H202" t="n">
        <x:v>420</x:v>
      </x:c>
      <x:c r="I202" t="n">
        <x:v>0.12</x:v>
      </x:c>
      <x:c r="J202" t="n">
        <x:v>2217.6</x:v>
      </x:c>
      <x:c r="K202" t="n">
        <x:v>691.63</x:v>
      </x:c>
      <x:c r="L202" t="str">
        <x:v>CUST-1060</x:v>
      </x:c>
    </x:row>
    <x:row r="203">
      <x:c r="A203" t="str">
        <x:v>ORD-0202</x:v>
      </x:c>
      <x:c r="B203" t="str">
        <x:v>2026-08-27</x:v>
      </x:c>
      <x:c r="C203" t="str">
        <x:v>South</x:v>
      </x:c>
      <x:c r="D203" t="str">
        <x:v>Office Supplies</x:v>
      </x:c>
      <x:c r="E203" t="str">
        <x:v>Small Business</x:v>
      </x:c>
      <x:c r="F203" t="str">
        <x:v>Online</x:v>
      </x:c>
      <x:c r="G203" t="n">
        <x:v>4</x:v>
      </x:c>
      <x:c r="H203" t="n">
        <x:v>91</x:v>
      </x:c>
      <x:c r="I203" t="n">
        <x:v>0.15</x:v>
      </x:c>
      <x:c r="J203" t="n">
        <x:v>309.4</x:v>
      </x:c>
      <x:c r="K203" t="n">
        <x:v>122.95</x:v>
      </x:c>
      <x:c r="L203" t="str">
        <x:v>CUST-1079</x:v>
      </x:c>
    </x:row>
    <x:row r="204">
      <x:c r="A204" t="str">
        <x:v>ORD-0203</x:v>
      </x:c>
      <x:c r="B204" t="str">
        <x:v>2026-08-30</x:v>
      </x:c>
      <x:c r="C204" t="str">
        <x:v>East</x:v>
      </x:c>
      <x:c r="D204" t="str">
        <x:v>Grocery</x:v>
      </x:c>
      <x:c r="E204" t="str">
        <x:v>Consumer</x:v>
      </x:c>
      <x:c r="F204" t="str">
        <x:v>Retail</x:v>
      </x:c>
      <x:c r="G204" t="n">
        <x:v>2</x:v>
      </x:c>
      <x:c r="H204" t="n">
        <x:v>47</x:v>
      </x:c>
      <x:c r="I204" t="n">
        <x:v>0.18</x:v>
      </x:c>
      <x:c r="J204" t="n">
        <x:v>77.08</x:v>
      </x:c>
      <x:c r="K204" t="n">
        <x:v>11.5</x:v>
      </x:c>
      <x:c r="L204" t="str">
        <x:v>CUST-1013</x:v>
      </x:c>
    </x:row>
    <x:row r="205">
      <x:c r="A205" t="str">
        <x:v>ORD-0204</x:v>
      </x:c>
      <x:c r="B205" t="str">
        <x:v>2026-09-02</x:v>
      </x:c>
      <x:c r="C205" t="str">
        <x:v>West</x:v>
      </x:c>
      <x:c r="D205" t="str">
        <x:v>Furniture</x:v>
      </x:c>
      <x:c r="E205" t="str">
        <x:v>Corporate</x:v>
      </x:c>
      <x:c r="F205" t="str">
        <x:v>Partner</x:v>
      </x:c>
      <x:c r="G205" t="n">
        <x:v>9</x:v>
      </x:c>
      <x:c r="H205" t="n">
        <x:v>328</x:v>
      </x:c>
      <x:c r="I205" t="n">
        <x:v>0.21</x:v>
      </x:c>
      <x:c r="J205" t="n">
        <x:v>2332.08</x:v>
      </x:c>
      <x:c r="K205" t="n">
        <x:v>401.77</x:v>
      </x:c>
      <x:c r="L205" t="str">
        <x:v>CUST-1032</x:v>
      </x:c>
    </x:row>
    <x:row r="206">
      <x:c r="A206" t="str">
        <x:v>ORD-0205</x:v>
      </x:c>
      <x:c r="B206" t="str">
        <x:v>2026-09-05</x:v>
      </x:c>
      <x:c r="C206" t="str">
        <x:v>North</x:v>
      </x:c>
      <x:c r="D206" t="str">
        <x:v>Home</x:v>
      </x:c>
      <x:c r="E206" t="str">
        <x:v>Consumer</x:v>
      </x:c>
      <x:c r="F206" t="str">
        <x:v>Online</x:v>
      </x:c>
      <x:c r="G206" t="n">
        <x:v>7</x:v>
      </x:c>
      <x:c r="H206" t="n">
        <x:v>164</x:v>
      </x:c>
      <x:c r="I206" t="n">
        <x:v>0.24</x:v>
      </x:c>
      <x:c r="J206" t="n">
        <x:v>872.48</x:v>
      </x:c>
      <x:c r="K206" t="n">
        <x:v>254.74</x:v>
      </x:c>
      <x:c r="L206" t="str">
        <x:v>CUST-1051</x:v>
      </x:c>
    </x:row>
    <x:row r="207">
      <x:c r="A207" t="str">
        <x:v>ORD-0206</x:v>
      </x:c>
      <x:c r="B207" t="str">
        <x:v>2026-09-08</x:v>
      </x:c>
      <x:c r="C207" t="str">
        <x:v>South</x:v>
      </x:c>
      <x:c r="D207" t="str">
        <x:v>Electronics</x:v>
      </x:c>
      <x:c r="E207" t="str">
        <x:v>Corporate</x:v>
      </x:c>
      <x:c r="F207" t="str">
        <x:v>Retail</x:v>
      </x:c>
      <x:c r="G207" t="n">
        <x:v>5</x:v>
      </x:c>
      <x:c r="H207" t="n">
        <x:v>450</x:v>
      </x:c>
      <x:c r="I207" t="n">
        <x:v>0.27</x:v>
      </x:c>
      <x:c r="J207" t="n">
        <x:v>1642.5</x:v>
      </x:c>
      <x:c r="K207" t="n">
        <x:v>370.78</x:v>
      </x:c>
      <x:c r="L207" t="str">
        <x:v>CUST-1070</x:v>
      </x:c>
    </x:row>
    <x:row r="208">
      <x:c r="A208" t="str">
        <x:v>ORD-0207</x:v>
      </x:c>
      <x:c r="B208" t="str">
        <x:v>2026-09-11</x:v>
      </x:c>
      <x:c r="C208" t="str">
        <x:v>East</x:v>
      </x:c>
      <x:c r="D208" t="str">
        <x:v>Office Supplies</x:v>
      </x:c>
      <x:c r="E208" t="str">
        <x:v>Small Business</x:v>
      </x:c>
      <x:c r="F208" t="str">
        <x:v>Partner</x:v>
      </x:c>
      <x:c r="G208" t="n">
        <x:v>3</x:v>
      </x:c>
      <x:c r="H208" t="n">
        <x:v>121</x:v>
      </x:c>
      <x:c r="I208" t="n">
        <x:v>0.02</x:v>
      </x:c>
      <x:c r="J208" t="n">
        <x:v>355.74</x:v>
      </x:c>
      <x:c r="K208" t="n">
        <x:v>131.41</x:v>
      </x:c>
      <x:c r="L208" t="str">
        <x:v>CUST-1004</x:v>
      </x:c>
    </x:row>
    <x:row r="209">
      <x:c r="A209" t="str">
        <x:v>ORD-0208</x:v>
      </x:c>
      <x:c r="B209" t="str">
        <x:v>2026-09-14</x:v>
      </x:c>
      <x:c r="C209" t="str">
        <x:v>West</x:v>
      </x:c>
      <x:c r="D209" t="str">
        <x:v>Grocery</x:v>
      </x:c>
      <x:c r="E209" t="str">
        <x:v>Consumer</x:v>
      </x:c>
      <x:c r="F209" t="str">
        <x:v>Online</x:v>
      </x:c>
      <x:c r="G209" t="n">
        <x:v>1</x:v>
      </x:c>
      <x:c r="H209" t="n">
        <x:v>77</x:v>
      </x:c>
      <x:c r="I209" t="n">
        <x:v>0.05</x:v>
      </x:c>
      <x:c r="J209" t="n">
        <x:v>73.15</x:v>
      </x:c>
      <x:c r="K209" t="n">
        <x:v>10.56</x:v>
      </x:c>
      <x:c r="L209" t="str">
        <x:v>CUST-1023</x:v>
      </x:c>
    </x:row>
    <x:row r="210">
      <x:c r="A210" t="str">
        <x:v>ORD-0209</x:v>
      </x:c>
      <x:c r="B210" t="str">
        <x:v>2026-09-17</x:v>
      </x:c>
      <x:c r="C210" t="str">
        <x:v>North</x:v>
      </x:c>
      <x:c r="D210" t="str">
        <x:v>Office Supplies</x:v>
      </x:c>
      <x:c r="E210" t="str">
        <x:v>Corporate</x:v>
      </x:c>
      <x:c r="F210" t="str">
        <x:v>Retail</x:v>
      </x:c>
      <x:c r="G210" t="n">
        <x:v>8</x:v>
      </x:c>
      <x:c r="H210" t="n">
        <x:v>85</x:v>
      </x:c>
      <x:c r="I210" t="n">
        <x:v>0.08</x:v>
      </x:c>
      <x:c r="J210" t="n">
        <x:v>625.6</x:v>
      </x:c>
      <x:c r="K210" t="n">
        <x:v>255.75</x:v>
      </x:c>
      <x:c r="L210" t="str">
        <x:v>CUST-1042</x:v>
      </x:c>
    </x:row>
    <x:row r="211">
      <x:c r="A211" t="str">
        <x:v>ORD-0210</x:v>
      </x:c>
      <x:c r="B211" t="str">
        <x:v>2026-09-20</x:v>
      </x:c>
      <x:c r="C211" t="str">
        <x:v>South</x:v>
      </x:c>
      <x:c r="D211" t="str">
        <x:v>Grocery</x:v>
      </x:c>
      <x:c r="E211" t="str">
        <x:v>Small Business</x:v>
      </x:c>
      <x:c r="F211" t="str">
        <x:v>Online</x:v>
      </x:c>
      <x:c r="G211" t="n">
        <x:v>6</x:v>
      </x:c>
      <x:c r="H211" t="n">
        <x:v>41</x:v>
      </x:c>
      <x:c r="I211" t="n">
        <x:v>0.11</x:v>
      </x:c>
      <x:c r="J211" t="n">
        <x:v>218.94</x:v>
      </x:c>
      <x:c r="K211" t="n">
        <x:v>45.55</x:v>
      </x:c>
      <x:c r="L211" t="str">
        <x:v>CUST-1061</x:v>
      </x:c>
    </x:row>
    <x:row r="212">
      <x:c r="A212" t="str">
        <x:v>ORD-0211</x:v>
      </x:c>
      <x:c r="B212" t="str">
        <x:v>2026-09-23</x:v>
      </x:c>
      <x:c r="C212" t="str">
        <x:v>East</x:v>
      </x:c>
      <x:c r="D212" t="str">
        <x:v>Furniture</x:v>
      </x:c>
      <x:c r="E212" t="str">
        <x:v>Consumer</x:v>
      </x:c>
      <x:c r="F212" t="str">
        <x:v>Retail</x:v>
      </x:c>
      <x:c r="G212" t="n">
        <x:v>4</x:v>
      </x:c>
      <x:c r="H212" t="n">
        <x:v>322</x:v>
      </x:c>
      <x:c r="I212" t="n">
        <x:v>0.14</x:v>
      </x:c>
      <x:c r="J212" t="n">
        <x:v>1107.68</x:v>
      </x:c>
      <x:c r="K212" t="n">
        <x:v>292.07</x:v>
      </x:c>
      <x:c r="L212" t="str">
        <x:v>CUST-1080</x:v>
      </x:c>
    </x:row>
    <x:row r="213">
      <x:c r="A213" t="str">
        <x:v>ORD-0212</x:v>
      </x:c>
      <x:c r="B213" t="str">
        <x:v>2026-09-26</x:v>
      </x:c>
      <x:c r="C213" t="str">
        <x:v>West</x:v>
      </x:c>
      <x:c r="D213" t="str">
        <x:v>Home</x:v>
      </x:c>
      <x:c r="E213" t="str">
        <x:v>Corporate</x:v>
      </x:c>
      <x:c r="F213" t="str">
        <x:v>Partner</x:v>
      </x:c>
      <x:c r="G213" t="n">
        <x:v>2</x:v>
      </x:c>
      <x:c r="H213" t="n">
        <x:v>158</x:v>
      </x:c>
      <x:c r="I213" t="n">
        <x:v>0.17</x:v>
      </x:c>
      <x:c r="J213" t="n">
        <x:v>262.28</x:v>
      </x:c>
      <x:c r="K213" t="n">
        <x:v>84.29</x:v>
      </x:c>
      <x:c r="L213" t="str">
        <x:v>CUST-1014</x:v>
      </x:c>
    </x:row>
    <x:row r="214">
      <x:c r="A214" t="str">
        <x:v>ORD-0213</x:v>
      </x:c>
      <x:c r="B214" t="str">
        <x:v>2026-09-29</x:v>
      </x:c>
      <x:c r="C214" t="str">
        <x:v>North</x:v>
      </x:c>
      <x:c r="D214" t="str">
        <x:v>Electronics</x:v>
      </x:c>
      <x:c r="E214" t="str">
        <x:v>Small Business</x:v>
      </x:c>
      <x:c r="F214" t="str">
        <x:v>Online</x:v>
      </x:c>
      <x:c r="G214" t="n">
        <x:v>9</x:v>
      </x:c>
      <x:c r="H214" t="n">
        <x:v>444</x:v>
      </x:c>
      <x:c r="I214" t="n">
        <x:v>0.2</x:v>
      </x:c>
      <x:c r="J214" t="n">
        <x:v>3196.8</x:v>
      </x:c>
      <x:c r="K214" t="n">
        <x:v>-614.4</x:v>
      </x:c>
      <x:c r="L214" t="str">
        <x:v>CUST-1033</x:v>
      </x:c>
    </x:row>
    <x:row r="215">
      <x:c r="A215" t="str">
        <x:v>ORD-0214</x:v>
      </x:c>
      <x:c r="B215" t="str">
        <x:v>2026-10-02</x:v>
      </x:c>
      <x:c r="C215" t="str">
        <x:v>South</x:v>
      </x:c>
      <x:c r="D215" t="str">
        <x:v>Office Supplies</x:v>
      </x:c>
      <x:c r="E215" t="str">
        <x:v>Consumer</x:v>
      </x:c>
      <x:c r="F215" t="str">
        <x:v>Retail</x:v>
      </x:c>
      <x:c r="G215" t="n">
        <x:v>7</x:v>
      </x:c>
      <x:c r="H215" t="n">
        <x:v>115</x:v>
      </x:c>
      <x:c r="I215" t="n">
        <x:v>0.23</x:v>
      </x:c>
      <x:c r="J215" t="n">
        <x:v>619.85</x:v>
      </x:c>
      <x:c r="K215" t="n">
        <x:v>197.55</x:v>
      </x:c>
      <x:c r="L215" t="str">
        <x:v>CUST-1052</x:v>
      </x:c>
    </x:row>
    <x:row r="216">
      <x:c r="A216" t="str">
        <x:v>ORD-0215</x:v>
      </x:c>
      <x:c r="B216" t="str">
        <x:v>2026-10-05</x:v>
      </x:c>
      <x:c r="C216" t="str">
        <x:v>East</x:v>
      </x:c>
      <x:c r="D216" t="str">
        <x:v>Grocery</x:v>
      </x:c>
      <x:c r="E216" t="str">
        <x:v>Corporate</x:v>
      </x:c>
      <x:c r="F216" t="str">
        <x:v>Partner</x:v>
      </x:c>
      <x:c r="G216" t="n">
        <x:v>5</x:v>
      </x:c>
      <x:c r="H216" t="n">
        <x:v>71</x:v>
      </x:c>
      <x:c r="I216" t="n">
        <x:v>0.26</x:v>
      </x:c>
      <x:c r="J216" t="n">
        <x:v>262.7</x:v>
      </x:c>
      <x:c r="K216" t="n">
        <x:v>21.41</x:v>
      </x:c>
      <x:c r="L216" t="str">
        <x:v>CUST-1071</x:v>
      </x:c>
    </x:row>
    <x:row r="217">
      <x:c r="A217" t="str">
        <x:v>ORD-0216</x:v>
      </x:c>
      <x:c r="B217" t="str">
        <x:v>2026-10-08</x:v>
      </x:c>
      <x:c r="C217" t="str">
        <x:v>West</x:v>
      </x:c>
      <x:c r="D217" t="str">
        <x:v>Furniture</x:v>
      </x:c>
      <x:c r="E217" t="str">
        <x:v>Small Business</x:v>
      </x:c>
      <x:c r="F217" t="str">
        <x:v>Online</x:v>
      </x:c>
      <x:c r="G217" t="n">
        <x:v>3</x:v>
      </x:c>
      <x:c r="H217" t="n">
        <x:v>352</x:v>
      </x:c>
      <x:c r="I217" t="n">
        <x:v>0.01</x:v>
      </x:c>
      <x:c r="J217" t="n">
        <x:v>1045.44</x:v>
      </x:c>
      <x:c r="K217" t="n">
        <x:v>275.27</x:v>
      </x:c>
      <x:c r="L217" t="str">
        <x:v>CUST-1005</x:v>
      </x:c>
    </x:row>
    <x:row r="218">
      <x:c r="A218" t="str">
        <x:v>ORD-0217</x:v>
      </x:c>
      <x:c r="B218" t="str">
        <x:v>2026-10-11</x:v>
      </x:c>
      <x:c r="C218" t="str">
        <x:v>North</x:v>
      </x:c>
      <x:c r="D218" t="str">
        <x:v>Home</x:v>
      </x:c>
      <x:c r="E218" t="str">
        <x:v>Consumer</x:v>
      </x:c>
      <x:c r="F218" t="str">
        <x:v>Retail</x:v>
      </x:c>
      <x:c r="G218" t="n">
        <x:v>1</x:v>
      </x:c>
      <x:c r="H218" t="n">
        <x:v>140</x:v>
      </x:c>
      <x:c r="I218" t="n">
        <x:v>0.04</x:v>
      </x:c>
      <x:c r="J218" t="n">
        <x:v>134.4</x:v>
      </x:c>
      <x:c r="K218" t="n">
        <x:v>45.42</x:v>
      </x:c>
      <x:c r="L218" t="str">
        <x:v>CUST-1024</x:v>
      </x:c>
    </x:row>
    <x:row r="219">
      <x:c r="A219" t="str">
        <x:v>ORD-0218</x:v>
      </x:c>
      <x:c r="B219" t="str">
        <x:v>2026-10-14</x:v>
      </x:c>
      <x:c r="C219" t="str">
        <x:v>South</x:v>
      </x:c>
      <x:c r="D219" t="str">
        <x:v>Electronics</x:v>
      </x:c>
      <x:c r="E219" t="str">
        <x:v>Corporate</x:v>
      </x:c>
      <x:c r="F219" t="str">
        <x:v>Partner</x:v>
      </x:c>
      <x:c r="G219" t="n">
        <x:v>8</x:v>
      </x:c>
      <x:c r="H219" t="n">
        <x:v>426</x:v>
      </x:c>
      <x:c r="I219" t="n">
        <x:v>0.07</x:v>
      </x:c>
      <x:c r="J219" t="n">
        <x:v>3169.44</x:v>
      </x:c>
      <x:c r="K219" t="n">
        <x:v>996.22</x:v>
      </x:c>
      <x:c r="L219" t="str">
        <x:v>CUST-1043</x:v>
      </x:c>
    </x:row>
    <x:row r="220">
      <x:c r="A220" t="str">
        <x:v>ORD-0219</x:v>
      </x:c>
      <x:c r="B220" t="str">
        <x:v>2026-10-17</x:v>
      </x:c>
      <x:c r="C220" t="str">
        <x:v>East</x:v>
      </x:c>
      <x:c r="D220" t="str">
        <x:v>Office Supplies</x:v>
      </x:c>
      <x:c r="E220" t="str">
        <x:v>Small Business</x:v>
      </x:c>
      <x:c r="F220" t="str">
        <x:v>Online</x:v>
      </x:c>
      <x:c r="G220" t="n">
        <x:v>6</x:v>
      </x:c>
      <x:c r="H220" t="n">
        <x:v>97</x:v>
      </x:c>
      <x:c r="I220" t="n">
        <x:v>0.1</x:v>
      </x:c>
      <x:c r="J220" t="n">
        <x:v>523.8</x:v>
      </x:c>
      <x:c r="K220" t="n">
        <x:v>213</x:v>
      </x:c>
      <x:c r="L220" t="str">
        <x:v>CUST-1062</x:v>
      </x:c>
    </x:row>
    <x:row r="221">
      <x:c r="A221" t="str">
        <x:v>ORD-0220</x:v>
      </x:c>
      <x:c r="B221" t="str">
        <x:v>2026-10-20</x:v>
      </x:c>
      <x:c r="C221" t="str">
        <x:v>West</x:v>
      </x:c>
      <x:c r="D221" t="str">
        <x:v>Grocery</x:v>
      </x:c>
      <x:c r="E221" t="str">
        <x:v>Consumer</x:v>
      </x:c>
      <x:c r="F221" t="str">
        <x:v>Retail</x:v>
      </x:c>
      <x:c r="G221" t="n">
        <x:v>4</x:v>
      </x:c>
      <x:c r="H221" t="n">
        <x:v>53</x:v>
      </x:c>
      <x:c r="I221" t="n">
        <x:v>0.13</x:v>
      </x:c>
      <x:c r="J221" t="n">
        <x:v>184.44</x:v>
      </x:c>
      <x:c r="K221" t="n">
        <x:v>37.27</x:v>
      </x:c>
      <x:c r="L221" t="str">
        <x:v>CUST-1081</x:v>
      </x:c>
    </x:row>
    <x:row r="222">
      <x:c r="A222" t="str">
        <x:v>ORD-0221</x:v>
      </x:c>
      <x:c r="B222" t="str">
        <x:v>2026-10-23</x:v>
      </x:c>
      <x:c r="C222" t="str">
        <x:v>North</x:v>
      </x:c>
      <x:c r="D222" t="str">
        <x:v>Furniture</x:v>
      </x:c>
      <x:c r="E222" t="str">
        <x:v>Corporate</x:v>
      </x:c>
      <x:c r="F222" t="str">
        <x:v>Online</x:v>
      </x:c>
      <x:c r="G222" t="n">
        <x:v>2</x:v>
      </x:c>
      <x:c r="H222" t="n">
        <x:v>334</x:v>
      </x:c>
      <x:c r="I222" t="n">
        <x:v>0.16</x:v>
      </x:c>
      <x:c r="J222" t="n">
        <x:v>561.12</x:v>
      </x:c>
      <x:c r="K222" t="n">
        <x:v>144.5</x:v>
      </x:c>
      <x:c r="L222" t="str">
        <x:v>CUST-1015</x:v>
      </x:c>
    </x:row>
    <x:row r="223">
      <x:c r="A223" t="str">
        <x:v>ORD-0222</x:v>
      </x:c>
      <x:c r="B223" t="str">
        <x:v>2026-10-26</x:v>
      </x:c>
      <x:c r="C223" t="str">
        <x:v>South</x:v>
      </x:c>
      <x:c r="D223" t="str">
        <x:v>Grocery</x:v>
      </x:c>
      <x:c r="E223" t="str">
        <x:v>Consumer</x:v>
      </x:c>
      <x:c r="F223" t="str">
        <x:v>Retail</x:v>
      </x:c>
      <x:c r="G223" t="n">
        <x:v>9</x:v>
      </x:c>
      <x:c r="H223" t="n">
        <x:v>65</x:v>
      </x:c>
      <x:c r="I223" t="n">
        <x:v>0.19</x:v>
      </x:c>
      <x:c r="J223" t="n">
        <x:v>473.85</x:v>
      </x:c>
      <x:c r="K223" t="n">
        <x:v>64.08</x:v>
      </x:c>
      <x:c r="L223" t="str">
        <x:v>CUST-1034</x:v>
      </x:c>
    </x:row>
    <x:row r="224">
      <x:c r="A224" t="str">
        <x:v>ORD-0223</x:v>
      </x:c>
      <x:c r="B224" t="str">
        <x:v>2026-10-29</x:v>
      </x:c>
      <x:c r="C224" t="str">
        <x:v>East</x:v>
      </x:c>
      <x:c r="D224" t="str">
        <x:v>Furniture</x:v>
      </x:c>
      <x:c r="E224" t="str">
        <x:v>Corporate</x:v>
      </x:c>
      <x:c r="F224" t="str">
        <x:v>Partner</x:v>
      </x:c>
      <x:c r="G224" t="n">
        <x:v>7</x:v>
      </x:c>
      <x:c r="H224" t="n">
        <x:v>346</x:v>
      </x:c>
      <x:c r="I224" t="n">
        <x:v>0.22</x:v>
      </x:c>
      <x:c r="J224" t="n">
        <x:v>1889.16</x:v>
      </x:c>
      <x:c r="K224" t="n">
        <x:v>322.05</x:v>
      </x:c>
      <x:c r="L224" t="str">
        <x:v>CUST-1053</x:v>
      </x:c>
    </x:row>
    <x:row r="225">
      <x:c r="A225" t="str">
        <x:v>ORD-0224</x:v>
      </x:c>
      <x:c r="B225" t="str">
        <x:v>2026-11-01</x:v>
      </x:c>
      <x:c r="C225" t="str">
        <x:v>West</x:v>
      </x:c>
      <x:c r="D225" t="str">
        <x:v>Home</x:v>
      </x:c>
      <x:c r="E225" t="str">
        <x:v>Small Business</x:v>
      </x:c>
      <x:c r="F225" t="str">
        <x:v>Online</x:v>
      </x:c>
      <x:c r="G225" t="n">
        <x:v>5</x:v>
      </x:c>
      <x:c r="H225" t="n">
        <x:v>182</x:v>
      </x:c>
      <x:c r="I225" t="n">
        <x:v>0.25</x:v>
      </x:c>
      <x:c r="J225" t="n">
        <x:v>682.5</x:v>
      </x:c>
      <x:c r="K225" t="n">
        <x:v>197.75</x:v>
      </x:c>
      <x:c r="L225" t="str">
        <x:v>CUST-1072</x:v>
      </x:c>
    </x:row>
    <x:row r="226">
      <x:c r="A226" t="str">
        <x:v>ORD-0225</x:v>
      </x:c>
      <x:c r="B226" t="str">
        <x:v>2026-11-04</x:v>
      </x:c>
      <x:c r="C226" t="str">
        <x:v>North</x:v>
      </x:c>
      <x:c r="D226" t="str">
        <x:v>Electronics</x:v>
      </x:c>
      <x:c r="E226" t="str">
        <x:v>Consumer</x:v>
      </x:c>
      <x:c r="F226" t="str">
        <x:v>Retail</x:v>
      </x:c>
      <x:c r="G226" t="n">
        <x:v>3</x:v>
      </x:c>
      <x:c r="H226" t="n">
        <x:v>420</x:v>
      </x:c>
      <x:c r="I226" t="n">
        <x:v>0</x:v>
      </x:c>
      <x:c r="J226" t="n">
        <x:v>1260</x:v>
      </x:c>
      <x:c r="K226" t="n">
        <x:v>396.2</x:v>
      </x:c>
      <x:c r="L226" t="str">
        <x:v>CUST-1006</x:v>
      </x:c>
    </x:row>
    <x:row r="227">
      <x:c r="A227" t="str">
        <x:v>ORD-0226</x:v>
      </x:c>
      <x:c r="B227" t="str">
        <x:v>2026-11-07</x:v>
      </x:c>
      <x:c r="C227" t="str">
        <x:v>South</x:v>
      </x:c>
      <x:c r="D227" t="str">
        <x:v>Office Supplies</x:v>
      </x:c>
      <x:c r="E227" t="str">
        <x:v>Corporate</x:v>
      </x:c>
      <x:c r="F227" t="str">
        <x:v>Partner</x:v>
      </x:c>
      <x:c r="G227" t="n">
        <x:v>1</x:v>
      </x:c>
      <x:c r="H227" t="n">
        <x:v>91</x:v>
      </x:c>
      <x:c r="I227" t="n">
        <x:v>0.03</x:v>
      </x:c>
      <x:c r="J227" t="n">
        <x:v>88.27</x:v>
      </x:c>
      <x:c r="K227" t="n">
        <x:v>19.07</x:v>
      </x:c>
      <x:c r="L227" t="str">
        <x:v>CUST-1025</x:v>
      </x:c>
    </x:row>
    <x:row r="228">
      <x:c r="A228" t="str">
        <x:v>ORD-0227</x:v>
      </x:c>
      <x:c r="B228" t="str">
        <x:v>2026-11-10</x:v>
      </x:c>
      <x:c r="C228" t="str">
        <x:v>East</x:v>
      </x:c>
      <x:c r="D228" t="str">
        <x:v>Grocery</x:v>
      </x:c>
      <x:c r="E228" t="str">
        <x:v>Small Business</x:v>
      </x:c>
      <x:c r="F228" t="str">
        <x:v>Online</x:v>
      </x:c>
      <x:c r="G228" t="n">
        <x:v>8</x:v>
      </x:c>
      <x:c r="H228" t="n">
        <x:v>47</x:v>
      </x:c>
      <x:c r="I228" t="n">
        <x:v>0.06</x:v>
      </x:c>
      <x:c r="J228" t="n">
        <x:v>353.44</x:v>
      </x:c>
      <x:c r="K228" t="n">
        <x:v>77.83</x:v>
      </x:c>
      <x:c r="L228" t="str">
        <x:v>CUST-1044</x:v>
      </x:c>
    </x:row>
    <x:row r="229">
      <x:c r="A229" t="str">
        <x:v>ORD-0228</x:v>
      </x:c>
      <x:c r="B229" t="str">
        <x:v>2026-11-13</x:v>
      </x:c>
      <x:c r="C229" t="str">
        <x:v>West</x:v>
      </x:c>
      <x:c r="D229" t="str">
        <x:v>Furniture</x:v>
      </x:c>
      <x:c r="E229" t="str">
        <x:v>Consumer</x:v>
      </x:c>
      <x:c r="F229" t="str">
        <x:v>Retail</x:v>
      </x:c>
      <x:c r="G229" t="n">
        <x:v>6</x:v>
      </x:c>
      <x:c r="H229" t="n">
        <x:v>328</x:v>
      </x:c>
      <x:c r="I229" t="n">
        <x:v>0.09</x:v>
      </x:c>
      <x:c r="J229" t="n">
        <x:v>1790.88</x:v>
      </x:c>
      <x:c r="K229" t="n">
        <x:v>476.54</x:v>
      </x:c>
      <x:c r="L229" t="str">
        <x:v>CUST-1063</x:v>
      </x:c>
    </x:row>
    <x:row r="230">
      <x:c r="A230" t="str">
        <x:v>ORD-0229</x:v>
      </x:c>
      <x:c r="B230" t="str">
        <x:v>2026-11-16</x:v>
      </x:c>
      <x:c r="C230" t="str">
        <x:v>North</x:v>
      </x:c>
      <x:c r="D230" t="str">
        <x:v>Home</x:v>
      </x:c>
      <x:c r="E230" t="str">
        <x:v>Corporate</x:v>
      </x:c>
      <x:c r="F230" t="str">
        <x:v>Partner</x:v>
      </x:c>
      <x:c r="G230" t="n">
        <x:v>4</x:v>
      </x:c>
      <x:c r="H230" t="n">
        <x:v>164</x:v>
      </x:c>
      <x:c r="I230" t="n">
        <x:v>0.12</x:v>
      </x:c>
      <x:c r="J230" t="n">
        <x:v>577.28</x:v>
      </x:c>
      <x:c r="K230" t="n">
        <x:v>207.14</x:v>
      </x:c>
      <x:c r="L230" t="str">
        <x:v>CUST-1082</x:v>
      </x:c>
    </x:row>
    <x:row r="231">
      <x:c r="A231" t="str">
        <x:v>ORD-0230</x:v>
      </x:c>
      <x:c r="B231" t="str">
        <x:v>2026-11-19</x:v>
      </x:c>
      <x:c r="C231" t="str">
        <x:v>South</x:v>
      </x:c>
      <x:c r="D231" t="str">
        <x:v>Electronics</x:v>
      </x:c>
      <x:c r="E231" t="str">
        <x:v>Small Business</x:v>
      </x:c>
      <x:c r="F231" t="str">
        <x:v>Online</x:v>
      </x:c>
      <x:c r="G231" t="n">
        <x:v>2</x:v>
      </x:c>
      <x:c r="H231" t="n">
        <x:v>450</x:v>
      </x:c>
      <x:c r="I231" t="n">
        <x:v>0.15</x:v>
      </x:c>
      <x:c r="J231" t="n">
        <x:v>765</x:v>
      </x:c>
      <x:c r="K231" t="n">
        <x:v>237.8</x:v>
      </x:c>
      <x:c r="L231" t="str">
        <x:v>CUST-1016</x:v>
      </x:c>
    </x:row>
    <x:row r="232">
      <x:c r="A232" t="str">
        <x:v>ORD-0231</x:v>
      </x:c>
      <x:c r="B232" t="str">
        <x:v>2026-11-22</x:v>
      </x:c>
      <x:c r="C232" t="str">
        <x:v>East</x:v>
      </x:c>
      <x:c r="D232" t="str">
        <x:v>Office Supplies</x:v>
      </x:c>
      <x:c r="E232" t="str">
        <x:v>Consumer</x:v>
      </x:c>
      <x:c r="F232" t="str">
        <x:v>Retail</x:v>
      </x:c>
      <x:c r="G232" t="n">
        <x:v>9</x:v>
      </x:c>
      <x:c r="H232" t="n">
        <x:v>121</x:v>
      </x:c>
      <x:c r="I232" t="n">
        <x:v>0.18</x:v>
      </x:c>
      <x:c r="J232" t="n">
        <x:v>892.98</x:v>
      </x:c>
      <x:c r="K232" t="n">
        <x:v>368.05</x:v>
      </x:c>
      <x:c r="L232" t="str">
        <x:v>CUST-1035</x:v>
      </x:c>
    </x:row>
    <x:row r="233">
      <x:c r="A233" t="str">
        <x:v>ORD-0232</x:v>
      </x:c>
      <x:c r="B233" t="str">
        <x:v>2026-11-25</x:v>
      </x:c>
      <x:c r="C233" t="str">
        <x:v>West</x:v>
      </x:c>
      <x:c r="D233" t="str">
        <x:v>Grocery</x:v>
      </x:c>
      <x:c r="E233" t="str">
        <x:v>Corporate</x:v>
      </x:c>
      <x:c r="F233" t="str">
        <x:v>Online</x:v>
      </x:c>
      <x:c r="G233" t="n">
        <x:v>7</x:v>
      </x:c>
      <x:c r="H233" t="n">
        <x:v>77</x:v>
      </x:c>
      <x:c r="I233" t="n">
        <x:v>0.21</x:v>
      </x:c>
      <x:c r="J233" t="n">
        <x:v>425.81</x:v>
      </x:c>
      <x:c r="K233" t="n">
        <x:v>56.87</x:v>
      </x:c>
      <x:c r="L233" t="str">
        <x:v>CUST-1054</x:v>
      </x:c>
    </x:row>
    <x:row r="234">
      <x:c r="A234" t="str">
        <x:v>ORD-0233</x:v>
      </x:c>
      <x:c r="B234" t="str">
        <x:v>2026-11-28</x:v>
      </x:c>
      <x:c r="C234" t="str">
        <x:v>North</x:v>
      </x:c>
      <x:c r="D234" t="str">
        <x:v>Furniture</x:v>
      </x:c>
      <x:c r="E234" t="str">
        <x:v>Small Business</x:v>
      </x:c>
      <x:c r="F234" t="str">
        <x:v>Retail</x:v>
      </x:c>
      <x:c r="G234" t="n">
        <x:v>5</x:v>
      </x:c>
      <x:c r="H234" t="n">
        <x:v>310</x:v>
      </x:c>
      <x:c r="I234" t="n">
        <x:v>0.24</x:v>
      </x:c>
      <x:c r="J234" t="n">
        <x:v>1178</x:v>
      </x:c>
      <x:c r="K234" t="n">
        <x:v>205.04</x:v>
      </x:c>
      <x:c r="L234" t="str">
        <x:v>CUST-1073</x:v>
      </x:c>
    </x:row>
    <x:row r="235">
      <x:c r="A235" t="str">
        <x:v>ORD-0234</x:v>
      </x:c>
      <x:c r="B235" t="str">
        <x:v>2026-12-01</x:v>
      </x:c>
      <x:c r="C235" t="str">
        <x:v>South</x:v>
      </x:c>
      <x:c r="D235" t="str">
        <x:v>Home</x:v>
      </x:c>
      <x:c r="E235" t="str">
        <x:v>Consumer</x:v>
      </x:c>
      <x:c r="F235" t="str">
        <x:v>Partner</x:v>
      </x:c>
      <x:c r="G235" t="n">
        <x:v>3</x:v>
      </x:c>
      <x:c r="H235" t="n">
        <x:v>146</x:v>
      </x:c>
      <x:c r="I235" t="n">
        <x:v>0.27</x:v>
      </x:c>
      <x:c r="J235" t="n">
        <x:v>319.74</x:v>
      </x:c>
      <x:c r="K235" t="n">
        <x:v>77.92</x:v>
      </x:c>
      <x:c r="L235" t="str">
        <x:v>CUST-1007</x:v>
      </x:c>
    </x:row>
    <x:row r="236">
      <x:c r="A236" t="str">
        <x:v>ORD-0235</x:v>
      </x:c>
      <x:c r="B236" t="str">
        <x:v>2026-12-04</x:v>
      </x:c>
      <x:c r="C236" t="str">
        <x:v>East</x:v>
      </x:c>
      <x:c r="D236" t="str">
        <x:v>Furniture</x:v>
      </x:c>
      <x:c r="E236" t="str">
        <x:v>Corporate</x:v>
      </x:c>
      <x:c r="F236" t="str">
        <x:v>Online</x:v>
      </x:c>
      <x:c r="G236" t="n">
        <x:v>1</x:v>
      </x:c>
      <x:c r="H236" t="n">
        <x:v>322</x:v>
      </x:c>
      <x:c r="I236" t="n">
        <x:v>0.02</x:v>
      </x:c>
      <x:c r="J236" t="n">
        <x:v>315.56</x:v>
      </x:c>
      <x:c r="K236" t="n">
        <x:v>78.2</x:v>
      </x:c>
      <x:c r="L236" t="str">
        <x:v>CUST-1026</x:v>
      </x:c>
    </x:row>
    <x:row r="237">
      <x:c r="A237" t="str">
        <x:v>ORD-0236</x:v>
      </x:c>
      <x:c r="B237" t="str">
        <x:v>2026-12-07</x:v>
      </x:c>
      <x:c r="C237" t="str">
        <x:v>West</x:v>
      </x:c>
      <x:c r="D237" t="str">
        <x:v>Home</x:v>
      </x:c>
      <x:c r="E237" t="str">
        <x:v>Small Business</x:v>
      </x:c>
      <x:c r="F237" t="str">
        <x:v>Retail</x:v>
      </x:c>
      <x:c r="G237" t="n">
        <x:v>8</x:v>
      </x:c>
      <x:c r="H237" t="n">
        <x:v>158</x:v>
      </x:c>
      <x:c r="I237" t="n">
        <x:v>0.05</x:v>
      </x:c>
      <x:c r="J237" t="n">
        <x:v>1200.8</x:v>
      </x:c>
      <x:c r="K237" t="n">
        <x:v>461.31</x:v>
      </x:c>
      <x:c r="L237" t="str">
        <x:v>CUST-1045</x:v>
      </x:c>
    </x:row>
    <x:row r="238">
      <x:c r="A238" t="str">
        <x:v>ORD-0237</x:v>
      </x:c>
      <x:c r="B238" t="str">
        <x:v>2026-12-10</x:v>
      </x:c>
      <x:c r="C238" t="str">
        <x:v>North</x:v>
      </x:c>
      <x:c r="D238" t="str">
        <x:v>Electronics</x:v>
      </x:c>
      <x:c r="E238" t="str">
        <x:v>Consumer</x:v>
      </x:c>
      <x:c r="F238" t="str">
        <x:v>Partner</x:v>
      </x:c>
      <x:c r="G238" t="n">
        <x:v>6</x:v>
      </x:c>
      <x:c r="H238" t="n">
        <x:v>444</x:v>
      </x:c>
      <x:c r="I238" t="n">
        <x:v>0.08</x:v>
      </x:c>
      <x:c r="J238" t="n">
        <x:v>2450.88</x:v>
      </x:c>
      <x:c r="K238" t="n">
        <x:v>766.28</x:v>
      </x:c>
      <x:c r="L238" t="str">
        <x:v>CUST-1064</x:v>
      </x:c>
    </x:row>
    <x:row r="239">
      <x:c r="A239" t="str">
        <x:v>ORD-0238</x:v>
      </x:c>
      <x:c r="B239" t="str">
        <x:v>2026-12-13</x:v>
      </x:c>
      <x:c r="C239" t="str">
        <x:v>South</x:v>
      </x:c>
      <x:c r="D239" t="str">
        <x:v>Office Supplies</x:v>
      </x:c>
      <x:c r="E239" t="str">
        <x:v>Corporate</x:v>
      </x:c>
      <x:c r="F239" t="str">
        <x:v>Online</x:v>
      </x:c>
      <x:c r="G239" t="n">
        <x:v>4</x:v>
      </x:c>
      <x:c r="H239" t="n">
        <x:v>115</x:v>
      </x:c>
      <x:c r="I239" t="n">
        <x:v>0.11</x:v>
      </x:c>
      <x:c r="J239" t="n">
        <x:v>409.4</x:v>
      </x:c>
      <x:c r="K239" t="n">
        <x:v>164.95</x:v>
      </x:c>
      <x:c r="L239" t="str">
        <x:v>CUST-1083</x:v>
      </x:c>
    </x:row>
    <x:row r="240">
      <x:c r="A240" t="str">
        <x:v>ORD-0239</x:v>
      </x:c>
      <x:c r="B240" t="str">
        <x:v>2026-12-16</x:v>
      </x:c>
      <x:c r="C240" t="str">
        <x:v>East</x:v>
      </x:c>
      <x:c r="D240" t="str">
        <x:v>Grocery</x:v>
      </x:c>
      <x:c r="E240" t="str">
        <x:v>Consumer</x:v>
      </x:c>
      <x:c r="F240" t="str">
        <x:v>Retail</x:v>
      </x:c>
      <x:c r="G240" t="n">
        <x:v>2</x:v>
      </x:c>
      <x:c r="H240" t="n">
        <x:v>71</x:v>
      </x:c>
      <x:c r="I240" t="n">
        <x:v>0.14</x:v>
      </x:c>
      <x:c r="J240" t="n">
        <x:v>122.12</x:v>
      </x:c>
      <x:c r="K240" t="n">
        <x:v>22.31</x:v>
      </x:c>
      <x:c r="L240" t="str">
        <x:v>CUST-1017</x:v>
      </x:c>
    </x:row>
    <x:row r="241">
      <x:c r="A241" t="str">
        <x:v>ORD-0240</x:v>
      </x:c>
      <x:c r="B241" t="str">
        <x:v>2026-12-19</x:v>
      </x:c>
      <x:c r="C241" t="str">
        <x:v>West</x:v>
      </x:c>
      <x:c r="D241" t="str">
        <x:v>Furniture</x:v>
      </x:c>
      <x:c r="E241" t="str">
        <x:v>Corporate</x:v>
      </x:c>
      <x:c r="F241" t="str">
        <x:v>Partner</x:v>
      </x:c>
      <x:c r="G241" t="n">
        <x:v>9</x:v>
      </x:c>
      <x:c r="H241" t="n">
        <x:v>352</x:v>
      </x:c>
      <x:c r="I241" t="n">
        <x:v>0.17</x:v>
      </x:c>
      <x:c r="J241" t="n">
        <x:v>2629.44</x:v>
      </x:c>
      <x:c r="K241" t="n">
        <x:v>691.95</x:v>
      </x:c>
      <x:c r="L241" t="str">
        <x:v>CUST-1036</x:v>
      </x:c>
    </x:row>
  </x:sheetData>
  <x:pageMargins left="0.7" right="0.7" top="0.75" bottom="0.75" header="0.3" footer="0.3"/>
  <x:tableParts count="1">
    <x:tablePart xmlns:r="http://schemas.openxmlformats.org/officeDocument/2006/relationships" r:id="R20653741f6f146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product_category</x:v>
      </x:c>
      <x:c r="B1" s="17" t="str">
        <x:v>sales</x:v>
      </x:c>
      <x:c r="C1" s="17" t="str">
        <x:v>profit</x:v>
      </x:c>
      <x:c r="D1" s="18" t="str">
        <x:v>margin</x:v>
      </x:c>
      <x:c r="E1" s="2" t="str">
        <x:v>orders</x:v>
      </x:c>
      <x:c r="H1" s="2" t="str">
        <x:v>month</x:v>
      </x:c>
      <x:c r="I1" s="17" t="str">
        <x:v>sales</x:v>
      </x:c>
      <x:c r="J1" s="17" t="str">
        <x:v>profit</x:v>
      </x:c>
      <x:c r="K1" s="2" t="str">
        <x:v>orders</x:v>
      </x:c>
      <x:c r="N1" s="2" t="str">
        <x:v>customer_segment</x:v>
      </x:c>
      <x:c r="O1" s="17" t="str">
        <x:v>sales</x:v>
      </x:c>
      <x:c r="P1" s="17" t="str">
        <x:v>profit</x:v>
      </x:c>
      <x:c r="Q1" s="18" t="str">
        <x:v>margin</x:v>
      </x:c>
      <x:c r="R1" s="2" t="str">
        <x:v>orders</x:v>
      </x:c>
      <x:c r="U1" s="2" t="str">
        <x:v>discount_band</x:v>
      </x:c>
      <x:c r="V1" s="2" t="str">
        <x:v>orders</x:v>
      </x:c>
      <x:c r="W1" s="17" t="str">
        <x:v>avg_profit</x:v>
      </x:c>
      <x:c r="X1" s="17" t="str">
        <x:v>total_profit</x:v>
      </x:c>
    </x:row>
    <x:row r="2">
      <x:c r="A2" t="str">
        <x:v>Electronics</x:v>
      </x:c>
      <x:c r="B2" t="n">
        <x:v>89373.36</x:v>
      </x:c>
      <x:c r="C2" t="n">
        <x:v>21652.17</x:v>
      </x:c>
      <x:c r="D2" t="n">
        <x:v>0.2423</x:v>
      </x:c>
      <x:c r="E2" t="n">
        <x:v>47</x:v>
      </x:c>
      <x:c r="H2" t="str">
        <x:v>2025-01</x:v>
      </x:c>
      <x:c r="I2" t="n">
        <x:v>11515.25</x:v>
      </x:c>
      <x:c r="J2" t="n">
        <x:v>3325.06</x:v>
      </x:c>
      <x:c r="K2" t="n">
        <x:v>11</x:v>
      </x:c>
      <x:c r="N2" t="str">
        <x:v>Corporate</x:v>
      </x:c>
      <x:c r="O2" t="n">
        <x:v>78669.94</x:v>
      </x:c>
      <x:c r="P2" t="n">
        <x:v>22116.1</x:v>
      </x:c>
      <x:c r="Q2" t="n">
        <x:v>0.2811</x:v>
      </x:c>
      <x:c r="R2" t="n">
        <x:v>85</x:v>
      </x:c>
      <x:c r="U2" t="str">
        <x:v>0-5%</x:v>
      </x:c>
      <x:c r="V2" t="n">
        <x:v>52</x:v>
      </x:c>
      <x:c r="W2" t="n">
        <x:v>301.32</x:v>
      </x:c>
      <x:c r="X2" t="n">
        <x:v>15668.52</x:v>
      </x:c>
    </x:row>
    <x:row r="3">
      <x:c r="A3" t="str">
        <x:v>Furniture</x:v>
      </x:c>
      <x:c r="B3" t="n">
        <x:v>68210.96</x:v>
      </x:c>
      <x:c r="C3" t="n">
        <x:v>15836.5</x:v>
      </x:c>
      <x:c r="D3" t="n">
        <x:v>0.2322</x:v>
      </x:c>
      <x:c r="E3" t="n">
        <x:v>49</x:v>
      </x:c>
      <x:c r="H3" t="str">
        <x:v>2025-02</x:v>
      </x:c>
      <x:c r="I3" t="n">
        <x:v>5639.18</x:v>
      </x:c>
      <x:c r="J3" t="n">
        <x:v>1491.49</x:v>
      </x:c>
      <x:c r="K3" t="n">
        <x:v>9</x:v>
      </x:c>
      <x:c r="N3" t="str">
        <x:v>Consumer</x:v>
      </x:c>
      <x:c r="O3" t="n">
        <x:v>76260.05</x:v>
      </x:c>
      <x:c r="P3" t="n">
        <x:v>20255.15</x:v>
      </x:c>
      <x:c r="Q3" t="n">
        <x:v>0.2656</x:v>
      </x:c>
      <x:c r="R3" t="n">
        <x:v>85</x:v>
      </x:c>
      <x:c r="U3" t="str">
        <x:v>6-15%</x:v>
      </x:c>
      <x:c r="V3" t="n">
        <x:v>87</x:v>
      </x:c>
      <x:c r="W3" t="n">
        <x:v>280.67</x:v>
      </x:c>
      <x:c r="X3" t="n">
        <x:v>24418.08</x:v>
      </x:c>
    </x:row>
    <x:row r="4">
      <x:c r="A4" t="str">
        <x:v>Home</x:v>
      </x:c>
      <x:c r="B4" t="n">
        <x:v>31866.48</x:v>
      </x:c>
      <x:c r="C4" t="n">
        <x:v>11361.53</x:v>
      </x:c>
      <x:c r="D4" t="n">
        <x:v>0.3565</x:v>
      </x:c>
      <x:c r="E4" t="n">
        <x:v>47</x:v>
      </x:c>
      <x:c r="H4" t="str">
        <x:v>2025-03</x:v>
      </x:c>
      <x:c r="I4" t="n">
        <x:v>10144.03</x:v>
      </x:c>
      <x:c r="J4" t="n">
        <x:v>3044.68</x:v>
      </x:c>
      <x:c r="K4" t="n">
        <x:v>10</x:v>
      </x:c>
      <x:c r="N4" t="str">
        <x:v>Small Business</x:v>
      </x:c>
      <x:c r="O4" t="n">
        <x:v>69748.15</x:v>
      </x:c>
      <x:c r="P4" t="n">
        <x:v>17283.78</x:v>
      </x:c>
      <x:c r="Q4" t="n">
        <x:v>0.2478</x:v>
      </x:c>
      <x:c r="R4" t="n">
        <x:v>70</x:v>
      </x:c>
      <x:c r="U4" t="str">
        <x:v>16%+</x:v>
      </x:c>
      <x:c r="V4" t="n">
        <x:v>101</x:v>
      </x:c>
      <x:c r="W4" t="n">
        <x:v>193.75</x:v>
      </x:c>
      <x:c r="X4" t="n">
        <x:v>19568.43</x:v>
      </x:c>
    </x:row>
    <x:row r="5">
      <x:c r="A5" t="str">
        <x:v>Office Supplies</x:v>
      </x:c>
      <x:c r="B5" t="n">
        <x:v>23032.38</x:v>
      </x:c>
      <x:c r="C5" t="n">
        <x:v>8718.67</x:v>
      </x:c>
      <x:c r="D5" t="n">
        <x:v>0.3785</x:v>
      </x:c>
      <x:c r="E5" t="n">
        <x:v>48</x:v>
      </x:c>
      <x:c r="H5" t="str">
        <x:v>2025-04</x:v>
      </x:c>
      <x:c r="I5" t="n">
        <x:v>10337.23</x:v>
      </x:c>
      <x:c r="J5" t="n">
        <x:v>2899.63</x:v>
      </x:c>
      <x:c r="K5" t="n">
        <x:v>10</x:v>
      </x:c>
    </x:row>
    <x:row r="6">
      <x:c r="A6" t="str">
        <x:v>Grocery</x:v>
      </x:c>
      <x:c r="B6" t="n">
        <x:v>12194.96</x:v>
      </x:c>
      <x:c r="C6" t="n">
        <x:v>2086.16</x:v>
      </x:c>
      <x:c r="D6" t="n">
        <x:v>0.1711</x:v>
      </x:c>
      <x:c r="E6" t="n">
        <x:v>49</x:v>
      </x:c>
      <x:c r="H6" t="str">
        <x:v>2025-05</x:v>
      </x:c>
      <x:c r="I6" t="n">
        <x:v>10813.51</x:v>
      </x:c>
      <x:c r="J6" t="n">
        <x:v>3172.84</x:v>
      </x:c>
      <x:c r="K6" t="n">
        <x:v>11</x:v>
      </x:c>
    </x:row>
    <x:row r="7">
      <x:c r="H7" t="str">
        <x:v>2025-06</x:v>
      </x:c>
      <x:c r="I7" t="n">
        <x:v>9451.75</x:v>
      </x:c>
      <x:c r="J7" t="n">
        <x:v>2336.43</x:v>
      </x:c>
      <x:c r="K7" t="n">
        <x:v>10</x:v>
      </x:c>
    </x:row>
    <x:row r="8">
      <x:c r="H8" t="str">
        <x:v>2025-07</x:v>
      </x:c>
      <x:c r="I8" t="n">
        <x:v>10891.98</x:v>
      </x:c>
      <x:c r="J8" t="n">
        <x:v>3121.71</x:v>
      </x:c>
      <x:c r="K8" t="n">
        <x:v>10</x:v>
      </x:c>
    </x:row>
    <x:row r="9">
      <x:c r="H9" t="str">
        <x:v>2025-08</x:v>
      </x:c>
      <x:c r="I9" t="n">
        <x:v>7331.93</x:v>
      </x:c>
      <x:c r="J9" t="n">
        <x:v>1971.84</x:v>
      </x:c>
      <x:c r="K9" t="n">
        <x:v>10</x:v>
      </x:c>
    </x:row>
    <x:row r="10">
      <x:c r="H10" t="str">
        <x:v>2025-09</x:v>
      </x:c>
      <x:c r="I10" t="n">
        <x:v>9347.53</x:v>
      </x:c>
      <x:c r="J10" t="n">
        <x:v>2716.07</x:v>
      </x:c>
      <x:c r="K10" t="n">
        <x:v>10</x:v>
      </x:c>
    </x:row>
    <x:row r="11">
      <x:c r="H11" t="str">
        <x:v>2025-10</x:v>
      </x:c>
      <x:c r="I11" t="n">
        <x:v>7719.21</x:v>
      </x:c>
      <x:c r="J11" t="n">
        <x:v>2083.67</x:v>
      </x:c>
      <x:c r="K11" t="n">
        <x:v>11</x:v>
      </x:c>
    </x:row>
    <x:row r="12">
      <x:c r="H12" t="str">
        <x:v>2025-11</x:v>
      </x:c>
      <x:c r="I12" t="n">
        <x:v>11688.65</x:v>
      </x:c>
      <x:c r="J12" t="n">
        <x:v>2219.6</x:v>
      </x:c>
      <x:c r="K12" t="n">
        <x:v>10</x:v>
      </x:c>
    </x:row>
    <x:row r="13">
      <x:c r="H13" t="str">
        <x:v>2025-12</x:v>
      </x:c>
      <x:c r="I13" t="n">
        <x:v>8843.35</x:v>
      </x:c>
      <x:c r="J13" t="n">
        <x:v>2593.08</x:v>
      </x:c>
      <x:c r="K13" t="n">
        <x:v>10</x:v>
      </x:c>
    </x:row>
    <x:row r="14">
      <x:c r="H14" t="str">
        <x:v>2026-01</x:v>
      </x:c>
      <x:c r="I14" t="n">
        <x:v>10287.7</x:v>
      </x:c>
      <x:c r="J14" t="n">
        <x:v>3244.47</x:v>
      </x:c>
      <x:c r="K14" t="n">
        <x:v>10</x:v>
      </x:c>
    </x:row>
    <x:row r="15">
      <x:c r="H15" t="str">
        <x:v>2026-02</x:v>
      </x:c>
      <x:c r="I15" t="n">
        <x:v>9643.57</x:v>
      </x:c>
      <x:c r="J15" t="n">
        <x:v>2861.39</x:v>
      </x:c>
      <x:c r="K15" t="n">
        <x:v>10</x:v>
      </x:c>
    </x:row>
    <x:row r="16">
      <x:c r="H16" t="str">
        <x:v>2026-03</x:v>
      </x:c>
      <x:c r="I16" t="n">
        <x:v>8822.72</x:v>
      </x:c>
      <x:c r="J16" t="n">
        <x:v>2417.03</x:v>
      </x:c>
      <x:c r="K16" t="n">
        <x:v>10</x:v>
      </x:c>
    </x:row>
    <x:row r="17">
      <x:c r="H17" t="str">
        <x:v>2026-04</x:v>
      </x:c>
      <x:c r="I17" t="n">
        <x:v>8805.6</x:v>
      </x:c>
      <x:c r="J17" t="n">
        <x:v>1184.46</x:v>
      </x:c>
      <x:c r="K17" t="n">
        <x:v>10</x:v>
      </x:c>
    </x:row>
    <x:row r="18">
      <x:c r="H18" t="str">
        <x:v>2026-05</x:v>
      </x:c>
      <x:c r="I18" t="n">
        <x:v>9826.42</x:v>
      </x:c>
      <x:c r="J18" t="n">
        <x:v>2778.18</x:v>
      </x:c>
      <x:c r="K18" t="n">
        <x:v>10</x:v>
      </x:c>
    </x:row>
    <x:row r="19">
      <x:c r="H19" t="str">
        <x:v>2026-06</x:v>
      </x:c>
      <x:c r="I19" t="n">
        <x:v>10379.09</x:v>
      </x:c>
      <x:c r="J19" t="n">
        <x:v>2897.52</x:v>
      </x:c>
      <x:c r="K19" t="n">
        <x:v>10</x:v>
      </x:c>
    </x:row>
    <x:row r="20">
      <x:c r="H20" t="str">
        <x:v>2026-07</x:v>
      </x:c>
      <x:c r="I20" t="n">
        <x:v>9516.9</x:v>
      </x:c>
      <x:c r="J20" t="n">
        <x:v>2684.13</x:v>
      </x:c>
      <x:c r="K20" t="n">
        <x:v>11</x:v>
      </x:c>
    </x:row>
    <x:row r="21">
      <x:c r="H21" t="str">
        <x:v>2026-08</x:v>
      </x:c>
      <x:c r="I21" t="n">
        <x:v>8658.99</x:v>
      </x:c>
      <x:c r="J21" t="n">
        <x:v>2557.25</x:v>
      </x:c>
      <x:c r="K21" t="n">
        <x:v>10</x:v>
      </x:c>
    </x:row>
    <x:row r="22">
      <x:c r="H22" t="str">
        <x:v>2026-09</x:v>
      </x:c>
      <x:c r="I22" t="n">
        <x:v>10687.25</x:v>
      </x:c>
      <x:c r="J22" t="n">
        <x:v>1232.52</x:v>
      </x:c>
      <x:c r="K22" t="n">
        <x:v>10</x:v>
      </x:c>
    </x:row>
    <x:row r="23">
      <x:c r="H23" t="str">
        <x:v>2026-10</x:v>
      </x:c>
      <x:c r="I23" t="n">
        <x:v>8864.2</x:v>
      </x:c>
      <x:c r="J23" t="n">
        <x:v>2316.77</x:v>
      </x:c>
      <x:c r="K23" t="n">
        <x:v>10</x:v>
      </x:c>
    </x:row>
    <x:row r="24">
      <x:c r="H24" t="str">
        <x:v>2026-11</x:v>
      </x:c>
      <x:c r="I24" t="n">
        <x:v>8014.16</x:v>
      </x:c>
      <x:c r="J24" t="n">
        <x:v>2242.29</x:v>
      </x:c>
      <x:c r="K24" t="n">
        <x:v>10</x:v>
      </x:c>
    </x:row>
    <x:row r="25">
      <x:c r="H25" t="str">
        <x:v>2026-12</x:v>
      </x:c>
      <x:c r="I25" t="n">
        <x:v>7447.94</x:v>
      </x:c>
      <x:c r="J25" t="n">
        <x:v>2262.92</x:v>
      </x:c>
      <x:c r="K25" t="n">
        <x:v>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</x:cols>
  <x:sheetData>
    <x:row r="1">
      <x:c r="A1" s="2" t="str">
        <x:v>Column</x:v>
      </x:c>
      <x:c r="B1" s="2" t="str">
        <x:v>Type</x:v>
      </x:c>
      <x:c r="C1" s="2" t="str">
        <x:v>Meaning</x:v>
      </x:c>
      <x:c r="D1" s="2" t="str">
        <x:v>Example Analysis Use</x:v>
      </x:c>
    </x:row>
    <x:row r="2">
      <x:c r="A2" t="str">
        <x:v>order_id</x:v>
      </x:c>
      <x:c r="B2" t="str">
        <x:v>Text</x:v>
      </x:c>
      <x:c r="C2" t="str">
        <x:v>Unique order identifier</x:v>
      </x:c>
      <x:c r="D2" t="str">
        <x:v>Trace anomalies</x:v>
      </x:c>
    </x:row>
    <x:row r="3">
      <x:c r="A3" t="str">
        <x:v>order_date</x:v>
      </x:c>
      <x:c r="B3" t="str">
        <x:v>Date</x:v>
      </x:c>
      <x:c r="C3" t="str">
        <x:v>Order date</x:v>
      </x:c>
      <x:c r="D3" t="str">
        <x:v>Trend analysis</x:v>
      </x:c>
    </x:row>
    <x:row r="4">
      <x:c r="A4" t="str">
        <x:v>region</x:v>
      </x:c>
      <x:c r="B4" t="str">
        <x:v>Text</x:v>
      </x:c>
      <x:c r="C4" t="str">
        <x:v>Sales region</x:v>
      </x:c>
      <x:c r="D4" t="str">
        <x:v>Segmentation</x:v>
      </x:c>
    </x:row>
    <x:row r="5">
      <x:c r="A5" t="str">
        <x:v>product_category</x:v>
      </x:c>
      <x:c r="B5" t="str">
        <x:v>Text</x:v>
      </x:c>
      <x:c r="C5" t="str">
        <x:v>Category sold</x:v>
      </x:c>
      <x:c r="D5" t="str">
        <x:v>Aggregation/ranking</x:v>
      </x:c>
    </x:row>
    <x:row r="6">
      <x:c r="A6" t="str">
        <x:v>customer_segment</x:v>
      </x:c>
      <x:c r="B6" t="str">
        <x:v>Text</x:v>
      </x:c>
      <x:c r="C6" t="str">
        <x:v>Customer segment</x:v>
      </x:c>
      <x:c r="D6" t="str">
        <x:v>Margin segmentation</x:v>
      </x:c>
    </x:row>
    <x:row r="7">
      <x:c r="A7" t="str">
        <x:v>sales_channel</x:v>
      </x:c>
      <x:c r="B7" t="str">
        <x:v>Text</x:v>
      </x:c>
      <x:c r="C7" t="str">
        <x:v>Channel used</x:v>
      </x:c>
      <x:c r="D7" t="str">
        <x:v>Channel comparison</x:v>
      </x:c>
    </x:row>
    <x:row r="8">
      <x:c r="A8" t="str">
        <x:v>quantity</x:v>
      </x:c>
      <x:c r="B8" t="str">
        <x:v>Number</x:v>
      </x:c>
      <x:c r="C8" t="str">
        <x:v>Units sold</x:v>
      </x:c>
      <x:c r="D8" t="str">
        <x:v>Volume analysis</x:v>
      </x:c>
    </x:row>
    <x:row r="9">
      <x:c r="A9" t="str">
        <x:v>unit_price</x:v>
      </x:c>
      <x:c r="B9" t="str">
        <x:v>Currency</x:v>
      </x:c>
      <x:c r="C9" t="str">
        <x:v>Price before discount</x:v>
      </x:c>
      <x:c r="D9" t="str">
        <x:v>Pricing analysis</x:v>
      </x:c>
    </x:row>
    <x:row r="10">
      <x:c r="A10" t="str">
        <x:v>discount</x:v>
      </x:c>
      <x:c r="B10" t="str">
        <x:v>Percent</x:v>
      </x:c>
      <x:c r="C10" t="str">
        <x:v>Discount rate</x:v>
      </x:c>
      <x:c r="D10" t="str">
        <x:v>Profit relationship</x:v>
      </x:c>
    </x:row>
    <x:row r="11">
      <x:c r="A11" t="str">
        <x:v>sales</x:v>
      </x:c>
      <x:c r="B11" t="str">
        <x:v>Currency</x:v>
      </x:c>
      <x:c r="C11" t="str">
        <x:v>Final order revenue</x:v>
      </x:c>
      <x:c r="D11" t="str">
        <x:v>Revenue questions</x:v>
      </x:c>
    </x:row>
    <x:row r="12">
      <x:c r="A12" t="str">
        <x:v>profit</x:v>
      </x:c>
      <x:c r="B12" t="str">
        <x:v>Currency</x:v>
      </x:c>
      <x:c r="C12" t="str">
        <x:v>Order profit</x:v>
      </x:c>
      <x:c r="D12" t="str">
        <x:v>Profitability questions</x:v>
      </x:c>
    </x:row>
    <x:row r="13">
      <x:c r="A13" t="str">
        <x:v>customer_id</x:v>
      </x:c>
      <x:c r="B13" t="str">
        <x:v>Text</x:v>
      </x:c>
      <x:c r="C13" t="str">
        <x:v>Customer identifier</x:v>
      </x:c>
      <x:c r="D13" t="str">
        <x:v>Customer-level follow-up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8.75" hidden="0" customWidth="1"/>
    <x:col min="3" max="3" width="28.75" hidden="0" customWidth="1"/>
    <x:col min="4" max="4" width="28.75" hidden="0" customWidth="1"/>
  </x:cols>
  <x:sheetData>
    <x:row r="1">
      <x:c r="A1" s="2" t="str">
        <x:v>Question</x:v>
      </x:c>
      <x:c r="B1" s="2" t="str">
        <x:v>Operation</x:v>
      </x:c>
      <x:c r="C1" s="2" t="str">
        <x:v>Expected Chart</x:v>
      </x:c>
      <x:c r="D1" s="2" t="str">
        <x:v>Success Metric</x:v>
      </x:c>
    </x:row>
    <x:row r="2">
      <x:c r="A2" s="21" t="str">
        <x:v>Which product categories generated the highest total revenue?</x:v>
      </x:c>
      <x:c r="B2" t="str">
        <x:v>Aggregation/ranking</x:v>
      </x:c>
      <x:c r="C2" t="str">
        <x:v>Bar</x:v>
      </x:c>
      <x:c r="D2" t="str">
        <x:v>Correct answer from dataset</x:v>
      </x:c>
    </x:row>
    <x:row r="3">
      <x:c r="A3" s="21" t="str">
        <x:v>How have monthly sales and profit changed over time?</x:v>
      </x:c>
      <x:c r="B3" t="str">
        <x:v>Trend analysis</x:v>
      </x:c>
      <x:c r="C3" t="str">
        <x:v>Line</x:v>
      </x:c>
      <x:c r="D3" t="str">
        <x:v>Appropriate visualization</x:v>
      </x:c>
    </x:row>
    <x:row r="4">
      <x:c r="A4" s="21" t="str">
        <x:v>Which customer segment is most profitable, and where are margins weakest?</x:v>
      </x:c>
      <x:c r="B4" t="str">
        <x:v>Segmentation</x:v>
      </x:c>
      <x:c r="C4" t="str">
        <x:v>Bar/table</x:v>
      </x:c>
      <x:c r="D4" t="str">
        <x:v>Narrative with limitations</x:v>
      </x:c>
    </x:row>
    <x:row r="5">
      <x:c r="A5" s="21" t="str">
        <x:v>Is discount level related to profit?</x:v>
      </x:c>
      <x:c r="B5" t="str">
        <x:v>Correlation/relationship</x:v>
      </x:c>
      <x:c r="C5" t="str">
        <x:v>Scatter or banded bar</x:v>
      </x:c>
      <x:c r="D5" t="str">
        <x:v>Insight plus uncertainty</x:v>
      </x:c>
    </x:row>
    <x:row r="6">
      <x:c r="A6" s="21" t="str">
        <x:v>Are there unusual orders with very high sales, high discounts, or negative profit?</x:v>
      </x:c>
      <x:c r="B6" t="str">
        <x:v>Anomaly detection</x:v>
      </x:c>
      <x:c r="C6" t="str">
        <x:v>Distribution/table</x:v>
      </x:c>
      <x:c r="D6" t="str">
        <x:v>Business follow-up</x:v>
      </x:c>
    </x:row>
    <x:row r="7">
      <x:c r="A7" s="21" t="str">
        <x:v>For that weakest-margin segment, which categories are causing the problem?</x:v>
      </x:c>
      <x:c r="B7" t="str">
        <x:v>Contextual follow-up</x:v>
      </x:c>
      <x:c r="C7" t="str">
        <x:v>Bar/table</x:v>
      </x:c>
      <x:c r="D7" t="str">
        <x:v>Session history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</x:cols>
  <x:sheetData>
    <x:row r="1">
      <x:c r="A1" s="2" t="str">
        <x:v>Check</x:v>
      </x:c>
      <x:c r="B1" s="2" t="str">
        <x:v>Formula / Result</x:v>
      </x:c>
    </x:row>
    <x:row r="2">
      <x:c r="A2" t="str">
        <x:v>Order count matches source</x:v>
      </x:c>
      <x:c r="B2" t="n">
        <x:f>COUNTA(Orders!A2:A241)</x:f>
        <x:v>240</x:v>
      </x:c>
    </x:row>
    <x:row r="3">
      <x:c r="A3" t="str">
        <x:v>Total sales</x:v>
      </x:c>
      <x:c r="B3" s="19" t="n">
        <x:f>SUM(Orders!J2:J241)</x:f>
        <x:v>224678.13999999978</x:v>
      </x:c>
    </x:row>
    <x:row r="4">
      <x:c r="A4" t="str">
        <x:v>Total profit</x:v>
      </x:c>
      <x:c r="B4" s="19" t="n">
        <x:f>SUM(Orders!K2:K241)</x:f>
        <x:v>59655.02999999998</x:v>
      </x:c>
    </x:row>
    <x:row r="5">
      <x:c r="A5" t="str">
        <x:v>Negative profit orders</x:v>
      </x:c>
      <x:c r="B5" t="n">
        <x:f>COUNTIF(Orders!K2:K241,"&lt;0")</x:f>
        <x:v>7</x:v>
      </x:c>
    </x:row>
    <x:row r="6">
      <x:c r="A6" t="str">
        <x:v>Blank critical fields</x:v>
      </x:c>
      <x:c r="B6" t="n">
        <x:f>COUNTBLANK(Orders!A2:E241)</x:f>
        <x:v>0</x:v>
      </x:c>
    </x:row>
  </x:sheetData>
  <x:pageMargins left="0.7" right="0.7" top="0.75" bottom="0.75" header="0.3" footer="0.3"/>
</x:worksheet>
</file>